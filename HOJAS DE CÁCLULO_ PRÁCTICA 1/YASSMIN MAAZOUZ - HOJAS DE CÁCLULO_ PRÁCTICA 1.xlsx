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 1" sheetId="1" r:id="rId5"/>
    <sheet state="visible" name="ACTIVIDAD 2" sheetId="2" r:id="rId6"/>
    <sheet state="visible" name="ACTIVIDAD 3" sheetId="3" r:id="rId7"/>
    <sheet state="visible" name="ACTIVIDAD 4" sheetId="4" r:id="rId8"/>
    <sheet state="visible" name="ACTIVIDAD 5" sheetId="5" r:id="rId9"/>
    <sheet state="visible" name="ACTIVIDAD 6" sheetId="6" r:id="rId10"/>
  </sheets>
  <definedNames/>
  <calcPr/>
</workbook>
</file>

<file path=xl/sharedStrings.xml><?xml version="1.0" encoding="utf-8"?>
<sst xmlns="http://schemas.openxmlformats.org/spreadsheetml/2006/main" count="83" uniqueCount="72">
  <si>
    <t xml:space="preserve">número </t>
  </si>
  <si>
    <t>operación</t>
  </si>
  <si>
    <t>tabla</t>
  </si>
  <si>
    <t xml:space="preserve">resultado </t>
  </si>
  <si>
    <t>X</t>
  </si>
  <si>
    <t>enero</t>
  </si>
  <si>
    <t xml:space="preserve">febrero </t>
  </si>
  <si>
    <t xml:space="preserve">marzo </t>
  </si>
  <si>
    <t>TOTAL TRIMESTRE:</t>
  </si>
  <si>
    <t>Gimnasio</t>
  </si>
  <si>
    <t>salidas con amigas</t>
  </si>
  <si>
    <t>uñas</t>
  </si>
  <si>
    <t xml:space="preserve">ropa </t>
  </si>
  <si>
    <t>comida</t>
  </si>
  <si>
    <t>Luz</t>
  </si>
  <si>
    <t>TOTAL:</t>
  </si>
  <si>
    <t>º</t>
  </si>
  <si>
    <t>TABLA DE NOTAS DE MIS COMPAÑEROS</t>
  </si>
  <si>
    <t>NOMBRE</t>
  </si>
  <si>
    <t>persona 1</t>
  </si>
  <si>
    <t>persona 2</t>
  </si>
  <si>
    <t>persona 3</t>
  </si>
  <si>
    <t xml:space="preserve"> NOTA MEDIA</t>
  </si>
  <si>
    <t>Emilio</t>
  </si>
  <si>
    <t>Juan mariano</t>
  </si>
  <si>
    <t>Hajar</t>
  </si>
  <si>
    <t>Steven</t>
  </si>
  <si>
    <t>sergio</t>
  </si>
  <si>
    <r>
      <rPr>
        <rFont val="Arial"/>
        <color theme="1"/>
      </rPr>
      <t xml:space="preserve">    </t>
    </r>
    <r>
      <rPr>
        <rFont val="Arial"/>
        <color theme="1"/>
        <sz val="17.0"/>
      </rPr>
      <t>CÁLCULO DE LA FACTURA DE LA COMPAÑIA ÉLECTRICA</t>
    </r>
  </si>
  <si>
    <t>KWh=</t>
  </si>
  <si>
    <t>0,055 $</t>
  </si>
  <si>
    <t xml:space="preserve">APARATO </t>
  </si>
  <si>
    <t>POTENCIA</t>
  </si>
  <si>
    <t>HORAS DE FUNCIONAMIENTO DIARIAS</t>
  </si>
  <si>
    <t>HORAS MENSUALES</t>
  </si>
  <si>
    <t>ENERGÍA</t>
  </si>
  <si>
    <t>COSTE</t>
  </si>
  <si>
    <t>WATIOS</t>
  </si>
  <si>
    <t>KW</t>
  </si>
  <si>
    <t>KWh</t>
  </si>
  <si>
    <t>$</t>
  </si>
  <si>
    <t>lavadora</t>
  </si>
  <si>
    <t>televisor</t>
  </si>
  <si>
    <t>frigorífico</t>
  </si>
  <si>
    <t>lavavajillas</t>
  </si>
  <si>
    <t>iluminación</t>
  </si>
  <si>
    <t>plancha</t>
  </si>
  <si>
    <t>ordenador</t>
  </si>
  <si>
    <t>IVA 16%:</t>
  </si>
  <si>
    <t>TOTAL CON IVA:</t>
  </si>
  <si>
    <t>,</t>
  </si>
  <si>
    <t xml:space="preserve">                             COMPAÑÍA ESPAÑOLA DE CAMPOS DE FÚTBOL</t>
  </si>
  <si>
    <t>Estudio de rentabilidad año 2014</t>
  </si>
  <si>
    <t>Localidad</t>
  </si>
  <si>
    <t>Nº de plazas</t>
  </si>
  <si>
    <t>promedio de ocupacion</t>
  </si>
  <si>
    <t>Porcentaje de ocupación</t>
  </si>
  <si>
    <t xml:space="preserve">Diferencia </t>
  </si>
  <si>
    <t>¿Es rentable?                SÍ/NO</t>
  </si>
  <si>
    <t>madrid</t>
  </si>
  <si>
    <t>barcelona</t>
  </si>
  <si>
    <t>valencia</t>
  </si>
  <si>
    <t>zaragoza</t>
  </si>
  <si>
    <t>sevilla</t>
  </si>
  <si>
    <t>bilbao</t>
  </si>
  <si>
    <t>Nº CAMPOS RENTABLES</t>
  </si>
  <si>
    <t>Nº CAMPOS NO RENTABLES</t>
  </si>
  <si>
    <t>¿es restable en conjunto?:</t>
  </si>
  <si>
    <t xml:space="preserve">                             Población de Aragón en 2013</t>
  </si>
  <si>
    <t>Edad</t>
  </si>
  <si>
    <t>Hombres</t>
  </si>
  <si>
    <t xml:space="preserve">Mujeres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</si>
</sst>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/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2" fillId="2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3" fontId="1" numFmtId="0" xfId="0" applyBorder="1" applyFill="1" applyFont="1"/>
    <xf borderId="2" fillId="0" fontId="2" numFmtId="0" xfId="0" applyAlignment="1" applyBorder="1" applyFont="1">
      <alignment readingOrder="0"/>
    </xf>
    <xf borderId="2" fillId="0" fontId="1" numFmtId="0" xfId="0" applyBorder="1" applyFont="1"/>
    <xf borderId="0" fillId="0" fontId="3" numFmtId="0" xfId="0" applyAlignment="1" applyFont="1">
      <alignment vertical="bottom"/>
    </xf>
    <xf borderId="3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5" fillId="3" fontId="3" numFmtId="0" xfId="0" applyAlignment="1" applyBorder="1" applyFont="1">
      <alignment vertical="bottom"/>
    </xf>
    <xf borderId="0" fillId="4" fontId="3" numFmtId="0" xfId="0" applyAlignment="1" applyFill="1" applyFon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horizontal="right" shrinkToFit="0" vertical="center" wrapText="0"/>
    </xf>
    <xf borderId="2" fillId="5" fontId="5" numFmtId="0" xfId="0" applyAlignment="1" applyBorder="1" applyFill="1" applyFont="1">
      <alignment horizontal="right" shrinkToFit="0" vertical="center" wrapText="0"/>
    </xf>
    <xf borderId="2" fillId="6" fontId="5" numFmtId="0" xfId="0" applyAlignment="1" applyBorder="1" applyFill="1" applyFont="1">
      <alignment shrinkToFit="0" vertical="center" wrapText="0"/>
    </xf>
    <xf borderId="6" fillId="7" fontId="1" numFmtId="0" xfId="0" applyAlignment="1" applyBorder="1" applyFill="1" applyFont="1">
      <alignment readingOrder="0"/>
    </xf>
    <xf borderId="7" fillId="0" fontId="6" numFmtId="0" xfId="0" applyBorder="1" applyFont="1"/>
    <xf borderId="8" fillId="0" fontId="6" numFmtId="0" xfId="0" applyBorder="1" applyFont="1"/>
    <xf borderId="9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 shrinkToFit="0" wrapText="1"/>
    </xf>
    <xf borderId="11" fillId="0" fontId="6" numFmtId="0" xfId="0" applyBorder="1" applyFont="1"/>
    <xf borderId="9" fillId="7" fontId="1" numFmtId="0" xfId="0" applyAlignment="1" applyBorder="1" applyFont="1">
      <alignment readingOrder="0" shrinkToFit="0" wrapText="1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6" fillId="0" fontId="1" numFmtId="0" xfId="0" applyAlignment="1" applyBorder="1" applyFont="1">
      <alignment readingOrder="0"/>
    </xf>
    <xf borderId="1" fillId="8" fontId="1" numFmtId="0" xfId="0" applyBorder="1" applyFill="1" applyFont="1"/>
    <xf borderId="1" fillId="7" fontId="2" numFmtId="0" xfId="0" applyAlignment="1" applyBorder="1" applyFont="1">
      <alignment readingOrder="0"/>
    </xf>
    <xf borderId="0" fillId="4" fontId="1" numFmtId="0" xfId="0" applyFont="1"/>
    <xf borderId="6" fillId="7" fontId="2" numFmtId="0" xfId="0" applyAlignment="1" applyBorder="1" applyFont="1">
      <alignment readingOrder="0"/>
    </xf>
    <xf borderId="6" fillId="9" fontId="2" numFmtId="0" xfId="0" applyAlignment="1" applyBorder="1" applyFill="1" applyFont="1">
      <alignment readingOrder="0"/>
    </xf>
    <xf borderId="6" fillId="10" fontId="1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/>
    </xf>
    <xf borderId="1" fillId="11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1" fillId="12" fontId="1" numFmtId="0" xfId="0" applyAlignment="1" applyBorder="1" applyFill="1" applyFont="1">
      <alignment readingOrder="0"/>
    </xf>
    <xf borderId="1" fillId="12" fontId="1" numFmtId="0" xfId="0" applyBorder="1" applyFont="1"/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8"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ACTIVIDAD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7:G12" displayName="Tabla_1" name="Tabla_1" id="1">
  <tableColumns count="5">
    <tableColumn name="NOMBRE" id="1"/>
    <tableColumn name="persona 1" id="2"/>
    <tableColumn name="persona 2" id="3"/>
    <tableColumn name="persona 3" id="4"/>
    <tableColumn name=" NOTA MEDIA" id="5"/>
  </tableColumns>
  <tableStyleInfo name="ACTIVIDAD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B2" s="3">
        <v>2.0</v>
      </c>
      <c r="C2" s="3" t="s">
        <v>4</v>
      </c>
      <c r="D2" s="3">
        <v>1.0</v>
      </c>
      <c r="E2" s="4">
        <f t="shared" ref="E2:E11" si="1">B2*D2</f>
        <v>2</v>
      </c>
    </row>
    <row r="3">
      <c r="B3" s="3">
        <f t="shared" ref="B3:B11" si="2">B2</f>
        <v>2</v>
      </c>
      <c r="C3" s="3" t="s">
        <v>4</v>
      </c>
      <c r="D3" s="4">
        <f t="shared" ref="D3:D11" si="3">D2+1</f>
        <v>2</v>
      </c>
      <c r="E3" s="4">
        <f t="shared" si="1"/>
        <v>4</v>
      </c>
    </row>
    <row r="4">
      <c r="B4" s="3">
        <f t="shared" si="2"/>
        <v>2</v>
      </c>
      <c r="C4" s="3" t="s">
        <v>4</v>
      </c>
      <c r="D4" s="4">
        <f t="shared" si="3"/>
        <v>3</v>
      </c>
      <c r="E4" s="4">
        <f t="shared" si="1"/>
        <v>6</v>
      </c>
    </row>
    <row r="5">
      <c r="B5" s="3">
        <f t="shared" si="2"/>
        <v>2</v>
      </c>
      <c r="C5" s="3" t="s">
        <v>4</v>
      </c>
      <c r="D5" s="4">
        <f t="shared" si="3"/>
        <v>4</v>
      </c>
      <c r="E5" s="4">
        <f t="shared" si="1"/>
        <v>8</v>
      </c>
    </row>
    <row r="6">
      <c r="B6" s="3">
        <f t="shared" si="2"/>
        <v>2</v>
      </c>
      <c r="C6" s="3" t="s">
        <v>4</v>
      </c>
      <c r="D6" s="4">
        <f t="shared" si="3"/>
        <v>5</v>
      </c>
      <c r="E6" s="4">
        <f t="shared" si="1"/>
        <v>10</v>
      </c>
    </row>
    <row r="7">
      <c r="B7" s="3">
        <f t="shared" si="2"/>
        <v>2</v>
      </c>
      <c r="C7" s="3" t="s">
        <v>4</v>
      </c>
      <c r="D7" s="4">
        <f t="shared" si="3"/>
        <v>6</v>
      </c>
      <c r="E7" s="4">
        <f t="shared" si="1"/>
        <v>12</v>
      </c>
    </row>
    <row r="8">
      <c r="B8" s="3">
        <f t="shared" si="2"/>
        <v>2</v>
      </c>
      <c r="C8" s="3" t="s">
        <v>4</v>
      </c>
      <c r="D8" s="4">
        <f t="shared" si="3"/>
        <v>7</v>
      </c>
      <c r="E8" s="4">
        <f t="shared" si="1"/>
        <v>14</v>
      </c>
    </row>
    <row r="9">
      <c r="B9" s="3">
        <f t="shared" si="2"/>
        <v>2</v>
      </c>
      <c r="C9" s="3" t="s">
        <v>4</v>
      </c>
      <c r="D9" s="4">
        <f t="shared" si="3"/>
        <v>8</v>
      </c>
      <c r="E9" s="4">
        <f t="shared" si="1"/>
        <v>16</v>
      </c>
    </row>
    <row r="10">
      <c r="B10" s="3">
        <f t="shared" si="2"/>
        <v>2</v>
      </c>
      <c r="C10" s="3" t="s">
        <v>4</v>
      </c>
      <c r="D10" s="4">
        <f t="shared" si="3"/>
        <v>9</v>
      </c>
      <c r="E10" s="4">
        <f t="shared" si="1"/>
        <v>18</v>
      </c>
    </row>
    <row r="11">
      <c r="B11" s="3">
        <f t="shared" si="2"/>
        <v>2</v>
      </c>
      <c r="C11" s="3" t="s">
        <v>4</v>
      </c>
      <c r="D11" s="4">
        <f t="shared" si="3"/>
        <v>10</v>
      </c>
      <c r="E11" s="4">
        <f t="shared" si="1"/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7" max="7" width="25.5"/>
  </cols>
  <sheetData>
    <row r="1">
      <c r="C1" s="5" t="s">
        <v>5</v>
      </c>
      <c r="D1" s="5" t="s">
        <v>6</v>
      </c>
      <c r="E1" s="5" t="s">
        <v>7</v>
      </c>
      <c r="G1" s="6" t="s">
        <v>8</v>
      </c>
    </row>
    <row r="2">
      <c r="B2" s="7" t="s">
        <v>9</v>
      </c>
      <c r="C2" s="8">
        <v>40.0</v>
      </c>
      <c r="D2" s="8">
        <v>40.0</v>
      </c>
      <c r="E2" s="8">
        <v>40.0</v>
      </c>
      <c r="G2" s="9">
        <f t="shared" ref="G2:G7" si="1">SUM(C2:E2)</f>
        <v>120</v>
      </c>
    </row>
    <row r="3">
      <c r="B3" s="7" t="s">
        <v>10</v>
      </c>
      <c r="C3" s="8">
        <v>20.0</v>
      </c>
      <c r="D3" s="8">
        <v>30.0</v>
      </c>
      <c r="E3" s="8">
        <v>35.0</v>
      </c>
      <c r="G3" s="9">
        <f t="shared" si="1"/>
        <v>85</v>
      </c>
    </row>
    <row r="4">
      <c r="B4" s="7" t="s">
        <v>11</v>
      </c>
      <c r="C4" s="8">
        <v>18.0</v>
      </c>
      <c r="D4" s="8">
        <v>11.0</v>
      </c>
      <c r="E4" s="8">
        <v>26.0</v>
      </c>
      <c r="G4" s="9">
        <f t="shared" si="1"/>
        <v>55</v>
      </c>
    </row>
    <row r="5">
      <c r="B5" s="7" t="s">
        <v>12</v>
      </c>
      <c r="C5" s="8">
        <v>80.0</v>
      </c>
      <c r="D5" s="8">
        <v>100.0</v>
      </c>
      <c r="E5" s="8">
        <v>60.0</v>
      </c>
      <c r="G5" s="9">
        <f t="shared" si="1"/>
        <v>240</v>
      </c>
    </row>
    <row r="6">
      <c r="B6" s="7" t="s">
        <v>13</v>
      </c>
      <c r="C6" s="8">
        <v>30.0</v>
      </c>
      <c r="D6" s="8">
        <v>30.0</v>
      </c>
      <c r="E6" s="8">
        <v>20.0</v>
      </c>
      <c r="G6" s="9">
        <f t="shared" si="1"/>
        <v>80</v>
      </c>
    </row>
    <row r="7">
      <c r="B7" s="7" t="s">
        <v>14</v>
      </c>
      <c r="C7" s="8">
        <v>140.0</v>
      </c>
      <c r="D7" s="8">
        <v>100.0</v>
      </c>
      <c r="E7" s="8">
        <v>140.0</v>
      </c>
      <c r="G7" s="9">
        <f t="shared" si="1"/>
        <v>380</v>
      </c>
    </row>
    <row r="9">
      <c r="B9" s="10" t="s">
        <v>15</v>
      </c>
      <c r="C9" s="9">
        <f t="shared" ref="C9:E9" si="2">SUM(C2:C7)</f>
        <v>328</v>
      </c>
      <c r="D9" s="9">
        <f t="shared" si="2"/>
        <v>311</v>
      </c>
      <c r="E9" s="9">
        <f t="shared" si="2"/>
        <v>321</v>
      </c>
      <c r="G9" s="11">
        <f>SUM(C9:E9)</f>
        <v>960</v>
      </c>
    </row>
    <row r="16">
      <c r="F16" s="1" t="s">
        <v>16</v>
      </c>
    </row>
  </sheetData>
  <conditionalFormatting sqref="G9">
    <cfRule type="cellIs" dxfId="0" priority="1" operator="greaterThan">
      <formula>1000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2"/>
      <c r="C3" s="12"/>
      <c r="D3" s="12"/>
      <c r="E3" s="12"/>
      <c r="F3" s="12"/>
      <c r="G3" s="12"/>
      <c r="H3" s="12"/>
    </row>
    <row r="4">
      <c r="B4" s="12"/>
      <c r="C4" s="13" t="s">
        <v>17</v>
      </c>
      <c r="D4" s="14"/>
      <c r="E4" s="15"/>
      <c r="F4" s="12"/>
      <c r="G4" s="12"/>
      <c r="H4" s="12"/>
    </row>
    <row r="5">
      <c r="B5" s="12"/>
      <c r="C5" s="12"/>
      <c r="D5" s="16"/>
      <c r="E5" s="16"/>
      <c r="F5" s="12"/>
      <c r="G5" s="12"/>
      <c r="H5" s="12"/>
    </row>
    <row r="6">
      <c r="B6" s="12"/>
      <c r="C6" s="12"/>
      <c r="D6" s="12"/>
      <c r="E6" s="12"/>
      <c r="F6" s="12"/>
      <c r="G6" s="12"/>
      <c r="H6" s="12"/>
    </row>
    <row r="7" ht="22.5" customHeight="1">
      <c r="B7" s="12"/>
      <c r="C7" s="17" t="s">
        <v>18</v>
      </c>
      <c r="D7" s="17" t="s">
        <v>19</v>
      </c>
      <c r="E7" s="17" t="s">
        <v>20</v>
      </c>
      <c r="F7" s="17" t="s">
        <v>21</v>
      </c>
      <c r="G7" s="17" t="s">
        <v>22</v>
      </c>
      <c r="H7" s="12"/>
    </row>
    <row r="8" ht="22.5" customHeight="1">
      <c r="B8" s="12"/>
      <c r="C8" s="18" t="s">
        <v>23</v>
      </c>
      <c r="D8" s="19">
        <v>7.0</v>
      </c>
      <c r="E8" s="20">
        <v>4.5</v>
      </c>
      <c r="F8" s="19">
        <v>8.0</v>
      </c>
      <c r="G8" s="19">
        <f t="shared" ref="G8:G12" si="1">AVERAGE(D8:F8)</f>
        <v>6.5</v>
      </c>
      <c r="H8" s="12"/>
    </row>
    <row r="9" ht="22.5" customHeight="1">
      <c r="B9" s="12"/>
      <c r="C9" s="21" t="s">
        <v>24</v>
      </c>
      <c r="D9" s="19">
        <v>7.0</v>
      </c>
      <c r="E9" s="20">
        <v>4.5</v>
      </c>
      <c r="F9" s="20">
        <v>2.25</v>
      </c>
      <c r="G9" s="20">
        <f t="shared" si="1"/>
        <v>4.583333333</v>
      </c>
      <c r="H9" s="12"/>
    </row>
    <row r="10" ht="22.5" customHeight="1">
      <c r="B10" s="12"/>
      <c r="C10" s="18" t="s">
        <v>25</v>
      </c>
      <c r="D10" s="19">
        <v>5.0</v>
      </c>
      <c r="E10" s="19">
        <v>8.0</v>
      </c>
      <c r="F10" s="19">
        <v>7.0</v>
      </c>
      <c r="G10" s="19">
        <f t="shared" si="1"/>
        <v>6.666666667</v>
      </c>
      <c r="H10" s="12"/>
    </row>
    <row r="11" ht="22.5" customHeight="1">
      <c r="B11" s="12"/>
      <c r="C11" s="21" t="s">
        <v>26</v>
      </c>
      <c r="D11" s="20">
        <v>4.0</v>
      </c>
      <c r="E11" s="20">
        <v>4.7</v>
      </c>
      <c r="F11" s="19">
        <v>9.2</v>
      </c>
      <c r="G11" s="19">
        <f t="shared" si="1"/>
        <v>5.966666667</v>
      </c>
      <c r="H11" s="12"/>
    </row>
    <row r="12" ht="22.5" customHeight="1">
      <c r="B12" s="12"/>
      <c r="C12" s="18" t="s">
        <v>27</v>
      </c>
      <c r="D12" s="19">
        <v>5.11</v>
      </c>
      <c r="E12" s="20">
        <v>4.3</v>
      </c>
      <c r="F12" s="20">
        <v>4.0</v>
      </c>
      <c r="G12" s="20">
        <f t="shared" si="1"/>
        <v>4.47</v>
      </c>
      <c r="H12" s="12"/>
    </row>
    <row r="13">
      <c r="B13" s="12"/>
      <c r="C13" s="12"/>
      <c r="D13" s="12"/>
      <c r="E13" s="12"/>
      <c r="F13" s="12"/>
      <c r="G13" s="12"/>
      <c r="H13" s="12"/>
    </row>
    <row r="14">
      <c r="B14" s="12"/>
      <c r="C14" s="12"/>
      <c r="D14" s="12"/>
      <c r="E14" s="12"/>
      <c r="F14" s="12"/>
      <c r="G14" s="12"/>
      <c r="H14" s="12"/>
    </row>
    <row r="15">
      <c r="B15" s="12"/>
      <c r="C15" s="12"/>
      <c r="D15" s="12"/>
      <c r="E15" s="12"/>
      <c r="F15" s="12"/>
      <c r="G15" s="12"/>
      <c r="H15" s="12"/>
    </row>
    <row r="16">
      <c r="B16" s="12"/>
      <c r="C16" s="12"/>
      <c r="D16" s="12"/>
      <c r="E16" s="12"/>
      <c r="F16" s="12"/>
      <c r="G16" s="12"/>
      <c r="H16" s="12"/>
    </row>
  </sheetData>
  <conditionalFormatting sqref="B2:H14">
    <cfRule type="cellIs" dxfId="6" priority="1" operator="greaterThanOrEqual">
      <formula>5</formula>
    </cfRule>
  </conditionalFormatting>
  <conditionalFormatting sqref="B2:H14">
    <cfRule type="cellIs" dxfId="7" priority="2" operator="lessThanOrEqual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5"/>
  </cols>
  <sheetData>
    <row r="2" ht="38.25" customHeight="1">
      <c r="B2" s="22" t="s">
        <v>28</v>
      </c>
      <c r="C2" s="23"/>
      <c r="D2" s="23"/>
      <c r="E2" s="23"/>
      <c r="F2" s="23"/>
      <c r="G2" s="23"/>
      <c r="H2" s="23"/>
      <c r="I2" s="24"/>
    </row>
    <row r="3">
      <c r="B3" s="4"/>
      <c r="C3" s="4"/>
      <c r="D3" s="4"/>
      <c r="E3" s="4"/>
      <c r="F3" s="4"/>
      <c r="G3" s="4"/>
      <c r="H3" s="3" t="s">
        <v>29</v>
      </c>
      <c r="I3" s="3" t="s">
        <v>30</v>
      </c>
    </row>
    <row r="4" ht="19.5" customHeight="1">
      <c r="B4" s="25" t="s">
        <v>31</v>
      </c>
      <c r="C4" s="26" t="s">
        <v>32</v>
      </c>
      <c r="D4" s="27" t="s">
        <v>33</v>
      </c>
      <c r="E4" s="28"/>
      <c r="F4" s="26" t="s">
        <v>32</v>
      </c>
      <c r="G4" s="29" t="s">
        <v>34</v>
      </c>
      <c r="H4" s="26" t="s">
        <v>35</v>
      </c>
      <c r="I4" s="26" t="s">
        <v>36</v>
      </c>
    </row>
    <row r="5" ht="30.75" customHeight="1">
      <c r="B5" s="30"/>
      <c r="C5" s="26" t="s">
        <v>37</v>
      </c>
      <c r="D5" s="31"/>
      <c r="E5" s="32"/>
      <c r="F5" s="26" t="s">
        <v>38</v>
      </c>
      <c r="G5" s="30"/>
      <c r="H5" s="26" t="s">
        <v>39</v>
      </c>
      <c r="I5" s="26" t="s">
        <v>40</v>
      </c>
    </row>
    <row r="6">
      <c r="B6" s="3" t="s">
        <v>41</v>
      </c>
      <c r="C6" s="3">
        <v>2000.0</v>
      </c>
      <c r="D6" s="33">
        <v>2.0</v>
      </c>
      <c r="E6" s="24"/>
      <c r="F6" s="4">
        <f t="shared" ref="F6:F12" si="1">(C6*D6)/100</f>
        <v>40</v>
      </c>
      <c r="G6" s="34">
        <f t="shared" ref="G6:G12" si="2">D6*30</f>
        <v>60</v>
      </c>
      <c r="H6" s="34">
        <f t="shared" ref="H6:H12" si="3">F6*G6</f>
        <v>2400</v>
      </c>
      <c r="I6" s="34">
        <f t="shared" ref="I6:I12" si="4">H6*0.055</f>
        <v>132</v>
      </c>
    </row>
    <row r="7">
      <c r="B7" s="3" t="s">
        <v>42</v>
      </c>
      <c r="C7" s="3">
        <v>150.0</v>
      </c>
      <c r="D7" s="33">
        <v>5.0</v>
      </c>
      <c r="E7" s="24"/>
      <c r="F7" s="4">
        <f t="shared" si="1"/>
        <v>7.5</v>
      </c>
      <c r="G7" s="34">
        <f t="shared" si="2"/>
        <v>150</v>
      </c>
      <c r="H7" s="34">
        <f t="shared" si="3"/>
        <v>1125</v>
      </c>
      <c r="I7" s="34">
        <f t="shared" si="4"/>
        <v>61.875</v>
      </c>
    </row>
    <row r="8">
      <c r="B8" s="3" t="s">
        <v>43</v>
      </c>
      <c r="C8" s="3">
        <v>300.0</v>
      </c>
      <c r="D8" s="33">
        <v>4.0</v>
      </c>
      <c r="E8" s="24"/>
      <c r="F8" s="4">
        <f t="shared" si="1"/>
        <v>12</v>
      </c>
      <c r="G8" s="34">
        <f t="shared" si="2"/>
        <v>120</v>
      </c>
      <c r="H8" s="34">
        <f t="shared" si="3"/>
        <v>1440</v>
      </c>
      <c r="I8" s="34">
        <f t="shared" si="4"/>
        <v>79.2</v>
      </c>
    </row>
    <row r="9">
      <c r="B9" s="3" t="s">
        <v>44</v>
      </c>
      <c r="C9" s="3">
        <v>1800.0</v>
      </c>
      <c r="D9" s="33">
        <v>1.5</v>
      </c>
      <c r="E9" s="24"/>
      <c r="F9" s="4">
        <f t="shared" si="1"/>
        <v>27</v>
      </c>
      <c r="G9" s="34">
        <f t="shared" si="2"/>
        <v>45</v>
      </c>
      <c r="H9" s="34">
        <f t="shared" si="3"/>
        <v>1215</v>
      </c>
      <c r="I9" s="34">
        <f t="shared" si="4"/>
        <v>66.825</v>
      </c>
    </row>
    <row r="10">
      <c r="B10" s="3" t="s">
        <v>45</v>
      </c>
      <c r="C10" s="3">
        <v>500.0</v>
      </c>
      <c r="D10" s="33">
        <v>5.0</v>
      </c>
      <c r="E10" s="24"/>
      <c r="F10" s="4">
        <f t="shared" si="1"/>
        <v>25</v>
      </c>
      <c r="G10" s="34">
        <f t="shared" si="2"/>
        <v>150</v>
      </c>
      <c r="H10" s="34">
        <f t="shared" si="3"/>
        <v>3750</v>
      </c>
      <c r="I10" s="34">
        <f t="shared" si="4"/>
        <v>206.25</v>
      </c>
    </row>
    <row r="11">
      <c r="B11" s="3" t="s">
        <v>46</v>
      </c>
      <c r="C11" s="3">
        <v>1100.0</v>
      </c>
      <c r="D11" s="33">
        <v>1.0</v>
      </c>
      <c r="E11" s="24"/>
      <c r="F11" s="4">
        <f t="shared" si="1"/>
        <v>11</v>
      </c>
      <c r="G11" s="34">
        <f t="shared" si="2"/>
        <v>30</v>
      </c>
      <c r="H11" s="34">
        <f t="shared" si="3"/>
        <v>330</v>
      </c>
      <c r="I11" s="34">
        <f t="shared" si="4"/>
        <v>18.15</v>
      </c>
    </row>
    <row r="12">
      <c r="B12" s="3" t="s">
        <v>47</v>
      </c>
      <c r="C12" s="3">
        <v>250.0</v>
      </c>
      <c r="D12" s="33">
        <v>4.0</v>
      </c>
      <c r="E12" s="24"/>
      <c r="F12" s="4">
        <f t="shared" si="1"/>
        <v>10</v>
      </c>
      <c r="G12" s="34">
        <f t="shared" si="2"/>
        <v>120</v>
      </c>
      <c r="H12" s="34">
        <f t="shared" si="3"/>
        <v>1200</v>
      </c>
      <c r="I12" s="34">
        <f t="shared" si="4"/>
        <v>66</v>
      </c>
    </row>
    <row r="14">
      <c r="H14" s="35" t="s">
        <v>15</v>
      </c>
      <c r="I14" s="34">
        <f>SUM(I6:I12)</f>
        <v>630.3</v>
      </c>
    </row>
    <row r="15">
      <c r="G15" s="36"/>
      <c r="H15" s="36"/>
      <c r="I15" s="36"/>
    </row>
    <row r="16">
      <c r="H16" s="35" t="s">
        <v>48</v>
      </c>
      <c r="I16" s="34">
        <f>I14*0.16</f>
        <v>100.848</v>
      </c>
    </row>
    <row r="18">
      <c r="G18" s="37" t="s">
        <v>49</v>
      </c>
      <c r="H18" s="24"/>
      <c r="I18" s="34">
        <f>SUM(I14+I16)</f>
        <v>731.148</v>
      </c>
    </row>
  </sheetData>
  <mergeCells count="12">
    <mergeCell ref="D9:E9"/>
    <mergeCell ref="D10:E10"/>
    <mergeCell ref="D11:E11"/>
    <mergeCell ref="D12:E12"/>
    <mergeCell ref="G18:H18"/>
    <mergeCell ref="B2:I2"/>
    <mergeCell ref="B4:B5"/>
    <mergeCell ref="D4:E5"/>
    <mergeCell ref="G4:G5"/>
    <mergeCell ref="D6:E6"/>
    <mergeCell ref="D7:E7"/>
    <mergeCell ref="D8:E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</row>
    <row r="3">
      <c r="B3" s="38" t="s">
        <v>51</v>
      </c>
      <c r="C3" s="23"/>
      <c r="D3" s="23"/>
      <c r="E3" s="23"/>
      <c r="F3" s="24"/>
    </row>
    <row r="4">
      <c r="B4" s="39" t="s">
        <v>52</v>
      </c>
      <c r="C4" s="23"/>
      <c r="D4" s="24"/>
    </row>
    <row r="6" ht="46.5" customHeight="1">
      <c r="B6" s="40" t="s">
        <v>53</v>
      </c>
      <c r="C6" s="40" t="s">
        <v>54</v>
      </c>
      <c r="D6" s="41" t="s">
        <v>55</v>
      </c>
      <c r="E6" s="41" t="s">
        <v>56</v>
      </c>
      <c r="F6" s="40" t="s">
        <v>57</v>
      </c>
      <c r="G6" s="41" t="s">
        <v>58</v>
      </c>
    </row>
    <row r="7">
      <c r="B7" s="3" t="s">
        <v>59</v>
      </c>
      <c r="C7" s="42">
        <v>65000.0</v>
      </c>
      <c r="D7" s="43">
        <v>54329.0</v>
      </c>
      <c r="E7" s="44">
        <f t="shared" ref="E7:E12" si="1">D7*100/C7</f>
        <v>83.58307692</v>
      </c>
      <c r="F7" s="43">
        <f t="shared" ref="F7:F12" si="2">C7-D7</f>
        <v>10671</v>
      </c>
      <c r="G7" s="43" t="str">
        <f t="shared" ref="G7:G12" si="3">IF(B7&gt;=5,"si","no")</f>
        <v>si</v>
      </c>
    </row>
    <row r="8">
      <c r="B8" s="3" t="s">
        <v>60</v>
      </c>
      <c r="C8" s="42">
        <v>57000.0</v>
      </c>
      <c r="D8" s="43">
        <v>47000.0</v>
      </c>
      <c r="E8" s="44">
        <f t="shared" si="1"/>
        <v>82.45614035</v>
      </c>
      <c r="F8" s="43">
        <f t="shared" si="2"/>
        <v>10000</v>
      </c>
      <c r="G8" s="43" t="str">
        <f t="shared" si="3"/>
        <v>si</v>
      </c>
    </row>
    <row r="9">
      <c r="B9" s="3" t="s">
        <v>61</v>
      </c>
      <c r="C9" s="42">
        <v>45000.0</v>
      </c>
      <c r="D9" s="43">
        <v>30000.0</v>
      </c>
      <c r="E9" s="44">
        <f t="shared" si="1"/>
        <v>66.66666667</v>
      </c>
      <c r="F9" s="43">
        <f t="shared" si="2"/>
        <v>15000</v>
      </c>
      <c r="G9" s="43" t="str">
        <f t="shared" si="3"/>
        <v>si</v>
      </c>
    </row>
    <row r="10">
      <c r="B10" s="3" t="s">
        <v>62</v>
      </c>
      <c r="C10" s="42">
        <v>30000.0</v>
      </c>
      <c r="D10" s="43">
        <v>26300.0</v>
      </c>
      <c r="E10" s="44">
        <f t="shared" si="1"/>
        <v>87.66666667</v>
      </c>
      <c r="F10" s="43">
        <f t="shared" si="2"/>
        <v>3700</v>
      </c>
      <c r="G10" s="43" t="str">
        <f t="shared" si="3"/>
        <v>si</v>
      </c>
    </row>
    <row r="11">
      <c r="B11" s="3" t="s">
        <v>63</v>
      </c>
      <c r="C11" s="42">
        <v>25000.0</v>
      </c>
      <c r="D11" s="43">
        <v>18308.0</v>
      </c>
      <c r="E11" s="44">
        <f t="shared" si="1"/>
        <v>73.232</v>
      </c>
      <c r="F11" s="43">
        <f t="shared" si="2"/>
        <v>6692</v>
      </c>
      <c r="G11" s="43" t="str">
        <f t="shared" si="3"/>
        <v>si</v>
      </c>
    </row>
    <row r="12">
      <c r="B12" s="3" t="s">
        <v>64</v>
      </c>
      <c r="C12" s="42">
        <v>20000.0</v>
      </c>
      <c r="D12" s="43">
        <v>11500.0</v>
      </c>
      <c r="E12" s="44">
        <f t="shared" si="1"/>
        <v>57.5</v>
      </c>
      <c r="F12" s="43">
        <f t="shared" si="2"/>
        <v>8500</v>
      </c>
      <c r="G12" s="43" t="str">
        <f t="shared" si="3"/>
        <v>si</v>
      </c>
    </row>
    <row r="14">
      <c r="E14" s="45"/>
      <c r="F14" s="46" t="s">
        <v>65</v>
      </c>
      <c r="G14" s="44">
        <f>COUNTIF(G7:G12,"si")</f>
        <v>6</v>
      </c>
      <c r="H14" s="1"/>
    </row>
    <row r="15">
      <c r="F15" s="46" t="s">
        <v>66</v>
      </c>
      <c r="G15" s="44">
        <f>COUNTIF(G8:G13,"no")</f>
        <v>0</v>
      </c>
    </row>
    <row r="17">
      <c r="F17" s="46" t="s">
        <v>67</v>
      </c>
      <c r="G17" s="44" t="str">
        <f>IF(G14&gt;G15,"si","no")</f>
        <v>si</v>
      </c>
      <c r="H17" s="1"/>
    </row>
  </sheetData>
  <mergeCells count="2">
    <mergeCell ref="B3:F3"/>
    <mergeCell ref="B4:D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F4" s="33" t="s">
        <v>68</v>
      </c>
      <c r="G4" s="23"/>
      <c r="H4" s="23"/>
      <c r="I4" s="24"/>
    </row>
    <row r="6">
      <c r="F6" s="3" t="s">
        <v>69</v>
      </c>
      <c r="G6" s="3" t="s">
        <v>70</v>
      </c>
      <c r="H6" s="3" t="s">
        <v>71</v>
      </c>
      <c r="I6" s="4"/>
    </row>
    <row r="7">
      <c r="F7" s="4"/>
      <c r="G7" s="4"/>
      <c r="H7" s="4"/>
      <c r="I7" s="4"/>
    </row>
    <row r="8">
      <c r="F8" s="4"/>
      <c r="G8" s="4"/>
      <c r="H8" s="4"/>
      <c r="I8" s="4"/>
    </row>
    <row r="9">
      <c r="F9" s="4"/>
      <c r="G9" s="4"/>
      <c r="H9" s="4"/>
      <c r="I9" s="4"/>
    </row>
    <row r="10">
      <c r="F10" s="4"/>
      <c r="G10" s="4"/>
      <c r="H10" s="4"/>
      <c r="I10" s="4"/>
    </row>
    <row r="11">
      <c r="F11" s="4"/>
      <c r="G11" s="4"/>
      <c r="H11" s="4"/>
      <c r="I11" s="4"/>
    </row>
    <row r="12">
      <c r="F12" s="4"/>
      <c r="G12" s="4"/>
      <c r="H12" s="4"/>
      <c r="I12" s="4"/>
    </row>
    <row r="13">
      <c r="F13" s="4"/>
      <c r="G13" s="4"/>
      <c r="H13" s="4"/>
      <c r="I13" s="4"/>
    </row>
    <row r="14">
      <c r="F14" s="4"/>
      <c r="G14" s="4"/>
      <c r="H14" s="4"/>
      <c r="I14" s="4"/>
    </row>
    <row r="15">
      <c r="F15" s="4"/>
      <c r="G15" s="4"/>
      <c r="H15" s="4"/>
      <c r="I15" s="4"/>
    </row>
    <row r="16">
      <c r="F16" s="4"/>
      <c r="G16" s="4"/>
      <c r="H16" s="4"/>
      <c r="I16" s="4"/>
    </row>
    <row r="17">
      <c r="F17" s="4"/>
      <c r="G17" s="4"/>
      <c r="H17" s="4"/>
      <c r="I17" s="4"/>
    </row>
    <row r="18">
      <c r="F18" s="4"/>
      <c r="G18" s="4"/>
      <c r="H18" s="4"/>
      <c r="I18" s="4"/>
    </row>
  </sheetData>
  <mergeCells count="1">
    <mergeCell ref="F4:I4"/>
  </mergeCells>
  <drawing r:id="rId1"/>
</worksheet>
</file>
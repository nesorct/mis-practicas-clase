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<sst xmlns="http://schemas.openxmlformats.org/spreadsheetml/2006/main" count="15" uniqueCount="15">
  <si>
    <t>LOCALIDAD</t>
  </si>
  <si>
    <t>Nº PLAZAS</t>
  </si>
  <si>
    <t>Promedio de ocupacion</t>
  </si>
  <si>
    <t>Porcentaje de ocupacion</t>
  </si>
  <si>
    <t xml:space="preserve">Diferencia </t>
  </si>
  <si>
    <t xml:space="preserve">¿Es rentable ? </t>
  </si>
  <si>
    <t>Madrid</t>
  </si>
  <si>
    <t xml:space="preserve">Barcelona </t>
  </si>
  <si>
    <t>Valencia</t>
  </si>
  <si>
    <t>Zaragoza</t>
  </si>
  <si>
    <t>Sevilla</t>
  </si>
  <si>
    <t>Bilbao</t>
  </si>
  <si>
    <t xml:space="preserve">Nº CAMPOS RENTABLES </t>
  </si>
  <si>
    <t xml:space="preserve">Nº CAMPOS NO RENTABLES </t>
  </si>
  <si>
    <t xml:space="preserve">ES RENTBLE EN CONJUNTO 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</si>
</sst>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  <col customWidth="1" min="5" max="5" width="19.63"/>
    <col customWidth="1" min="7" max="7" width="27.1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 t="s">
        <v>6</v>
      </c>
      <c r="C3" s="3">
        <v>65000.0</v>
      </c>
      <c r="D3" s="4">
        <v>55000.0</v>
      </c>
      <c r="E3" s="5">
        <f t="shared" ref="E3:E8" si="1">D3*100/C3</f>
        <v>84.61538462</v>
      </c>
      <c r="F3" s="5">
        <f t="shared" ref="F3:F8" si="2">C3-D3</f>
        <v>10000</v>
      </c>
      <c r="G3" s="4" t="str">
        <f t="shared" ref="G3:G8" si="3">IF(E3&gt;60,"SI","NO")</f>
        <v>SI</v>
      </c>
    </row>
    <row r="4">
      <c r="B4" s="2" t="s">
        <v>7</v>
      </c>
      <c r="C4" s="3">
        <v>57000.0</v>
      </c>
      <c r="D4" s="4">
        <v>48000.0</v>
      </c>
      <c r="E4" s="5">
        <f t="shared" si="1"/>
        <v>84.21052632</v>
      </c>
      <c r="F4" s="5">
        <f t="shared" si="2"/>
        <v>9000</v>
      </c>
      <c r="G4" s="4" t="str">
        <f t="shared" si="3"/>
        <v>SI</v>
      </c>
    </row>
    <row r="5">
      <c r="B5" s="2" t="s">
        <v>8</v>
      </c>
      <c r="C5" s="3">
        <v>45000.0</v>
      </c>
      <c r="D5" s="4">
        <v>40000.0</v>
      </c>
      <c r="E5" s="5">
        <f t="shared" si="1"/>
        <v>88.88888889</v>
      </c>
      <c r="F5" s="5">
        <f t="shared" si="2"/>
        <v>5000</v>
      </c>
      <c r="G5" s="4" t="str">
        <f t="shared" si="3"/>
        <v>SI</v>
      </c>
    </row>
    <row r="6">
      <c r="B6" s="2" t="s">
        <v>9</v>
      </c>
      <c r="C6" s="3">
        <v>30000.0</v>
      </c>
      <c r="D6" s="4">
        <v>25000.0</v>
      </c>
      <c r="E6" s="5">
        <f t="shared" si="1"/>
        <v>83.33333333</v>
      </c>
      <c r="F6" s="5">
        <f t="shared" si="2"/>
        <v>5000</v>
      </c>
      <c r="G6" s="4" t="str">
        <f t="shared" si="3"/>
        <v>SI</v>
      </c>
    </row>
    <row r="7">
      <c r="B7" s="2" t="s">
        <v>10</v>
      </c>
      <c r="C7" s="3">
        <v>25000.0</v>
      </c>
      <c r="D7" s="4">
        <v>20000.0</v>
      </c>
      <c r="E7" s="5">
        <f t="shared" si="1"/>
        <v>80</v>
      </c>
      <c r="F7" s="5">
        <f t="shared" si="2"/>
        <v>5000</v>
      </c>
      <c r="G7" s="4" t="str">
        <f t="shared" si="3"/>
        <v>SI</v>
      </c>
    </row>
    <row r="8">
      <c r="B8" s="2" t="s">
        <v>11</v>
      </c>
      <c r="C8" s="3">
        <v>20000.0</v>
      </c>
      <c r="D8" s="4">
        <v>15000.0</v>
      </c>
      <c r="E8" s="5">
        <f t="shared" si="1"/>
        <v>75</v>
      </c>
      <c r="F8" s="5">
        <f t="shared" si="2"/>
        <v>5000</v>
      </c>
      <c r="G8" s="4" t="str">
        <f t="shared" si="3"/>
        <v>SI</v>
      </c>
    </row>
    <row r="11">
      <c r="G11" s="2" t="s">
        <v>12</v>
      </c>
      <c r="H11" s="4">
        <f>COUNTIF(G3:G8,"SI")</f>
        <v>6</v>
      </c>
    </row>
    <row r="13">
      <c r="G13" s="2" t="s">
        <v>13</v>
      </c>
      <c r="H13" s="4">
        <f>COUNTIF(G3:G8,"NO")</f>
        <v>0</v>
      </c>
    </row>
    <row r="15">
      <c r="G15" s="2" t="s">
        <v>14</v>
      </c>
      <c r="H15" s="4" t="str">
        <f>IF(H11&gt;H13,"SI","NO")</f>
        <v>SI</v>
      </c>
    </row>
  </sheetData>
  <drawing r:id="rId1"/>
</worksheet>
</file>
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 1" sheetId="1" r:id="rId5"/>
    <sheet state="visible" name="Act 2" sheetId="2" r:id="rId6"/>
    <sheet state="visible" name="Act 3" sheetId="3" r:id="rId7"/>
    <sheet state="visible" name="Act 4" sheetId="4" r:id="rId8"/>
    <sheet state="visible" name="Act 5" sheetId="5" r:id="rId9"/>
  </sheets>
  <definedNames/>
  <calcPr/>
</workbook>
</file>

<file path=xl/sharedStrings.xml><?xml version="1.0" encoding="utf-8"?>
<sst xmlns="http://schemas.openxmlformats.org/spreadsheetml/2006/main" count="76" uniqueCount="62">
  <si>
    <t>NÚMERO</t>
  </si>
  <si>
    <t>OPERACIÓN</t>
  </si>
  <si>
    <t>TABLA</t>
  </si>
  <si>
    <t>RESULTADO</t>
  </si>
  <si>
    <t>X</t>
  </si>
  <si>
    <t>ENERO</t>
  </si>
  <si>
    <t>FEBRERO</t>
  </si>
  <si>
    <t>MARZO</t>
  </si>
  <si>
    <t>TOTAL TRIMESTRE</t>
  </si>
  <si>
    <t>GIMNASIO</t>
  </si>
  <si>
    <t>COMIDA</t>
  </si>
  <si>
    <t>OCIO</t>
  </si>
  <si>
    <t>AGUA</t>
  </si>
  <si>
    <t>ELECTRICIDAD</t>
  </si>
  <si>
    <t>TOTAL</t>
  </si>
  <si>
    <t>NOMBRE</t>
  </si>
  <si>
    <t>NOTA 1</t>
  </si>
  <si>
    <t>NOTA  2</t>
  </si>
  <si>
    <t>NOTA 3</t>
  </si>
  <si>
    <t>NOTA MEDIA</t>
  </si>
  <si>
    <t>MARIANO</t>
  </si>
  <si>
    <t>SERGIO</t>
  </si>
  <si>
    <t>YASSMIN</t>
  </si>
  <si>
    <t>AJAR</t>
  </si>
  <si>
    <t>CALCULO DE LA FACTURA DE LA COMPAÑIA ELECTORAL</t>
  </si>
  <si>
    <t>KWh.=</t>
  </si>
  <si>
    <t>APARATO</t>
  </si>
  <si>
    <t>POTENCIA</t>
  </si>
  <si>
    <t>HORAS FUNCIONAMIENTO DIARIAS</t>
  </si>
  <si>
    <t>HORAS MENSUALES</t>
  </si>
  <si>
    <t>ENERGIA</t>
  </si>
  <si>
    <t>COSTE</t>
  </si>
  <si>
    <t xml:space="preserve">lavadora </t>
  </si>
  <si>
    <t>televisor</t>
  </si>
  <si>
    <t>frigorifico</t>
  </si>
  <si>
    <t>lavavajilas</t>
  </si>
  <si>
    <t>iluminacion</t>
  </si>
  <si>
    <t>plancha</t>
  </si>
  <si>
    <t>ordenador</t>
  </si>
  <si>
    <t xml:space="preserve">Total:
</t>
  </si>
  <si>
    <t>IVA 16%:</t>
  </si>
  <si>
    <t>TOTAL CON IVA:</t>
  </si>
  <si>
    <t>WY</t>
  </si>
  <si>
    <t>COMPAÑÍA ESPAÑOLA DE CAMPOS DE FÚTBOL</t>
  </si>
  <si>
    <t>LOCALIDAD</t>
  </si>
  <si>
    <t>N DE PLAZAS</t>
  </si>
  <si>
    <t>PROMEDIO DE OCUPACIÓN</t>
  </si>
  <si>
    <t>PORCENTAJE DE OCUPACIÓN</t>
  </si>
  <si>
    <t>DIFERENCIA</t>
  </si>
  <si>
    <t>¿RENTA?</t>
  </si>
  <si>
    <t>MADRID</t>
  </si>
  <si>
    <t>SI</t>
  </si>
  <si>
    <t>BARCELONA</t>
  </si>
  <si>
    <t>VALENCIA</t>
  </si>
  <si>
    <t>NO</t>
  </si>
  <si>
    <t>ZARAGOZA</t>
  </si>
  <si>
    <t>SEVILLA</t>
  </si>
  <si>
    <t>BILBAO</t>
  </si>
  <si>
    <t>N CAMPOS RENTABLES</t>
  </si>
  <si>
    <t>N CAMPOS NO RENTABLES</t>
  </si>
  <si>
    <t>¿RENTABLE EN CONJUNTO?</t>
  </si>
  <si>
    <t>50/50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</si>
</sst>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Border="1" applyFill="1" applyFont="1"/>
    <xf borderId="1" fillId="5" fontId="2" numFmtId="0" xfId="0" applyBorder="1" applyFont="1"/>
    <xf borderId="1" fillId="5" fontId="2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6" fontId="1" numFmtId="0" xfId="0" applyAlignment="1" applyBorder="1" applyFill="1" applyFont="1">
      <alignment readingOrder="0"/>
    </xf>
    <xf borderId="1" fillId="7" fontId="1" numFmtId="0" xfId="0" applyBorder="1" applyFill="1" applyFont="1"/>
    <xf borderId="0" fillId="0" fontId="1" numFmtId="0" xfId="0" applyFont="1"/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0" fontId="1" numFmtId="0" xfId="0" applyBorder="1" applyFont="1"/>
    <xf borderId="0" fillId="10" fontId="1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>
        <color rgb="FFE06666"/>
      </font>
      <fill>
        <patternFill patternType="solid">
          <fgColor rgb="FFF4C7C3"/>
          <bgColor rgb="FFF4C7C3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Act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" displayName="Tabla_1" name="Tabla_1" id="1">
  <tableColumns count="5">
    <tableColumn name="NOMBRE" id="1"/>
    <tableColumn name="NOTA 1" id="2"/>
    <tableColumn name="NOTA  2" id="3"/>
    <tableColumn name="NOTA 3" id="4"/>
    <tableColumn name="NOTA MEDIA" id="5"/>
  </tableColumns>
  <tableStyleInfo name="Ac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D1" s="1" t="s">
        <v>1</v>
      </c>
      <c r="E1" s="1" t="s">
        <v>2</v>
      </c>
      <c r="F1" s="1" t="s">
        <v>3</v>
      </c>
    </row>
    <row r="2">
      <c r="C2" s="2">
        <v>5.0</v>
      </c>
      <c r="D2" s="2" t="s">
        <v>4</v>
      </c>
      <c r="E2" s="2">
        <v>1.0</v>
      </c>
      <c r="F2" s="2">
        <f t="shared" ref="F2:F11" si="1">C2*E2</f>
        <v>5</v>
      </c>
    </row>
    <row r="3">
      <c r="C3" s="2">
        <f t="shared" ref="C3:C11" si="2">C2</f>
        <v>5</v>
      </c>
      <c r="D3" s="2" t="s">
        <v>4</v>
      </c>
      <c r="E3" s="2">
        <v>2.0</v>
      </c>
      <c r="F3" s="2">
        <f t="shared" si="1"/>
        <v>10</v>
      </c>
    </row>
    <row r="4">
      <c r="B4" s="3"/>
      <c r="C4" s="2">
        <f t="shared" si="2"/>
        <v>5</v>
      </c>
      <c r="D4" s="2" t="s">
        <v>4</v>
      </c>
      <c r="E4" s="2">
        <v>3.0</v>
      </c>
      <c r="F4" s="2">
        <f t="shared" si="1"/>
        <v>15</v>
      </c>
    </row>
    <row r="5">
      <c r="C5" s="4">
        <f t="shared" si="2"/>
        <v>5</v>
      </c>
      <c r="D5" s="2" t="s">
        <v>4</v>
      </c>
      <c r="E5" s="2">
        <v>4.0</v>
      </c>
      <c r="F5" s="2">
        <f t="shared" si="1"/>
        <v>20</v>
      </c>
    </row>
    <row r="6">
      <c r="C6" s="2">
        <f t="shared" si="2"/>
        <v>5</v>
      </c>
      <c r="D6" s="2" t="s">
        <v>4</v>
      </c>
      <c r="E6" s="2">
        <v>5.0</v>
      </c>
      <c r="F6" s="2">
        <f t="shared" si="1"/>
        <v>25</v>
      </c>
    </row>
    <row r="7">
      <c r="C7" s="2">
        <f t="shared" si="2"/>
        <v>5</v>
      </c>
      <c r="D7" s="2" t="s">
        <v>4</v>
      </c>
      <c r="E7" s="2">
        <v>6.0</v>
      </c>
      <c r="F7" s="2">
        <f t="shared" si="1"/>
        <v>30</v>
      </c>
    </row>
    <row r="8">
      <c r="C8" s="2">
        <f t="shared" si="2"/>
        <v>5</v>
      </c>
      <c r="D8" s="2" t="s">
        <v>4</v>
      </c>
      <c r="E8" s="2">
        <v>7.0</v>
      </c>
      <c r="F8" s="2">
        <f t="shared" si="1"/>
        <v>35</v>
      </c>
    </row>
    <row r="9">
      <c r="C9" s="2">
        <f t="shared" si="2"/>
        <v>5</v>
      </c>
      <c r="D9" s="2" t="s">
        <v>4</v>
      </c>
      <c r="E9" s="2">
        <v>8.0</v>
      </c>
      <c r="F9" s="2">
        <f t="shared" si="1"/>
        <v>40</v>
      </c>
    </row>
    <row r="10">
      <c r="C10" s="2">
        <f t="shared" si="2"/>
        <v>5</v>
      </c>
      <c r="D10" s="2" t="s">
        <v>4</v>
      </c>
      <c r="E10" s="2">
        <v>9.0</v>
      </c>
      <c r="F10" s="2">
        <f t="shared" si="1"/>
        <v>45</v>
      </c>
    </row>
    <row r="11">
      <c r="C11" s="2">
        <f t="shared" si="2"/>
        <v>5</v>
      </c>
      <c r="D11" s="2" t="s">
        <v>4</v>
      </c>
      <c r="E11" s="2">
        <v>10.0</v>
      </c>
      <c r="F11" s="2">
        <f t="shared" si="1"/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63"/>
  </cols>
  <sheetData>
    <row r="1">
      <c r="C1" s="5" t="s">
        <v>5</v>
      </c>
      <c r="D1" s="5" t="s">
        <v>6</v>
      </c>
      <c r="E1" s="5" t="s">
        <v>7</v>
      </c>
      <c r="G1" s="2" t="s">
        <v>8</v>
      </c>
    </row>
    <row r="2">
      <c r="B2" s="6" t="s">
        <v>9</v>
      </c>
      <c r="C2" s="2">
        <v>40.0</v>
      </c>
      <c r="D2" s="2">
        <v>40.0</v>
      </c>
      <c r="E2" s="2">
        <v>40.0</v>
      </c>
      <c r="G2" s="7">
        <f t="shared" ref="G2:G4" si="1">SUM(B5:D58)</f>
        <v>1030</v>
      </c>
    </row>
    <row r="3">
      <c r="B3" s="6" t="s">
        <v>10</v>
      </c>
      <c r="C3" s="2">
        <v>70.0</v>
      </c>
      <c r="D3" s="2">
        <v>70.0</v>
      </c>
      <c r="E3" s="2">
        <v>70.0</v>
      </c>
      <c r="G3" s="7">
        <f t="shared" si="1"/>
        <v>900</v>
      </c>
    </row>
    <row r="4">
      <c r="B4" s="6" t="s">
        <v>11</v>
      </c>
      <c r="C4" s="2">
        <v>80.0</v>
      </c>
      <c r="D4" s="2">
        <v>70.0</v>
      </c>
      <c r="E4" s="2">
        <v>90.0</v>
      </c>
      <c r="G4" s="7">
        <f t="shared" si="1"/>
        <v>700</v>
      </c>
    </row>
    <row r="5">
      <c r="B5" s="6" t="s">
        <v>12</v>
      </c>
      <c r="C5" s="2">
        <v>70.0</v>
      </c>
      <c r="D5" s="2">
        <v>60.0</v>
      </c>
      <c r="E5" s="2">
        <v>70.0</v>
      </c>
      <c r="G5" s="7">
        <f t="shared" ref="G5:G6" si="2">SUM(B7:D61)</f>
        <v>700</v>
      </c>
    </row>
    <row r="6">
      <c r="B6" s="6" t="s">
        <v>13</v>
      </c>
      <c r="C6" s="2">
        <v>100.0</v>
      </c>
      <c r="D6" s="2">
        <v>100.0</v>
      </c>
      <c r="E6" s="2">
        <v>120.0</v>
      </c>
      <c r="G6" s="7">
        <f t="shared" si="2"/>
        <v>0</v>
      </c>
    </row>
    <row r="7">
      <c r="B7" s="2" t="s">
        <v>14</v>
      </c>
      <c r="C7" s="8">
        <f t="shared" ref="C7:E7" si="3">SUM(C2:C6)</f>
        <v>360</v>
      </c>
      <c r="D7" s="9">
        <f t="shared" si="3"/>
        <v>340</v>
      </c>
      <c r="E7" s="8">
        <f t="shared" si="3"/>
        <v>390</v>
      </c>
      <c r="G7" s="4">
        <f>(G2+G3+G4+G5+G6+G8)</f>
        <v>3330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25"/>
  </cols>
  <sheetData>
    <row r="1" ht="22.5" customHeight="1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</row>
    <row r="2" ht="22.5" customHeight="1">
      <c r="A2" s="11" t="s">
        <v>20</v>
      </c>
      <c r="B2" s="11">
        <v>7.0</v>
      </c>
      <c r="C2" s="11">
        <v>2.25</v>
      </c>
      <c r="D2" s="11">
        <v>4.5</v>
      </c>
      <c r="E2" s="12">
        <f t="shared" ref="E2:E5" si="1">AVERAGE(B2:D2)</f>
        <v>4.583333333</v>
      </c>
    </row>
    <row r="3" ht="22.5" customHeight="1">
      <c r="A3" s="11" t="s">
        <v>21</v>
      </c>
      <c r="B3" s="11">
        <v>4.5</v>
      </c>
      <c r="C3" s="11">
        <v>4.0</v>
      </c>
      <c r="D3" s="11">
        <v>3.8</v>
      </c>
      <c r="E3" s="12">
        <f t="shared" si="1"/>
        <v>4.1</v>
      </c>
    </row>
    <row r="4" ht="22.5" customHeight="1">
      <c r="A4" s="11" t="s">
        <v>22</v>
      </c>
      <c r="B4" s="11">
        <v>8.25</v>
      </c>
      <c r="C4" s="11">
        <v>9.75</v>
      </c>
      <c r="D4" s="11">
        <v>7.0</v>
      </c>
      <c r="E4" s="12">
        <f t="shared" si="1"/>
        <v>8.333333333</v>
      </c>
    </row>
    <row r="5" ht="22.5" customHeight="1">
      <c r="A5" s="11" t="s">
        <v>23</v>
      </c>
      <c r="B5" s="11">
        <v>8.0</v>
      </c>
      <c r="C5" s="11">
        <v>5.0</v>
      </c>
      <c r="D5" s="11">
        <v>3.0</v>
      </c>
      <c r="E5" s="12">
        <f t="shared" si="1"/>
        <v>5.333333333</v>
      </c>
    </row>
  </sheetData>
  <conditionalFormatting sqref="B2:E5">
    <cfRule type="cellIs" dxfId="5" priority="1" operator="greaterThanOrEqual">
      <formula>5</formula>
    </cfRule>
  </conditionalFormatting>
  <conditionalFormatting sqref="I8">
    <cfRule type="cellIs" dxfId="6" priority="2" operator="lessThanOrEqual">
      <formula>4</formula>
    </cfRule>
  </conditionalFormatting>
  <conditionalFormatting sqref="D9">
    <cfRule type="cellIs" dxfId="5" priority="3" operator="greaterThanOrEqual">
      <formula>5</formula>
    </cfRule>
  </conditionalFormatting>
  <conditionalFormatting sqref="D9">
    <cfRule type="cellIs" dxfId="7" priority="4" operator="lessThanOrEqual">
      <formula>4</formula>
    </cfRule>
  </conditionalFormatting>
  <conditionalFormatting sqref="G9">
    <cfRule type="cellIs" dxfId="5" priority="5" operator="greaterThanOrEqual">
      <formula>5</formula>
    </cfRule>
  </conditionalFormatting>
  <conditionalFormatting sqref="B2:D5">
    <cfRule type="cellIs" dxfId="8" priority="6" operator="lessThanOrEqual">
      <formula>4</formula>
    </cfRule>
  </conditionalFormatting>
  <conditionalFormatting sqref="G12">
    <cfRule type="notContainsBlanks" dxfId="5" priority="7">
      <formula>LEN(TRIM(G12))&gt;0</formula>
    </cfRule>
  </conditionalFormatting>
  <conditionalFormatting sqref="M13">
    <cfRule type="cellIs" dxfId="8" priority="8" operator="lessThan">
      <formula>5</formula>
    </cfRule>
  </conditionalFormatting>
  <conditionalFormatting sqref="B1:D5">
    <cfRule type="cellIs" dxfId="8" priority="9" operator="lessThan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0"/>
    <col customWidth="1" min="4" max="4" width="29.0"/>
    <col customWidth="1" min="6" max="6" width="25.13"/>
    <col customWidth="1" min="7" max="7" width="13.5"/>
  </cols>
  <sheetData>
    <row r="4">
      <c r="B4" s="3" t="s">
        <v>24</v>
      </c>
    </row>
    <row r="5">
      <c r="G5" s="3" t="s">
        <v>25</v>
      </c>
      <c r="H5" s="3">
        <v>0.055</v>
      </c>
    </row>
    <row r="6">
      <c r="B6" s="13" t="s">
        <v>26</v>
      </c>
      <c r="C6" s="13" t="s">
        <v>27</v>
      </c>
      <c r="D6" s="13" t="s">
        <v>28</v>
      </c>
      <c r="E6" s="13" t="s">
        <v>27</v>
      </c>
      <c r="F6" s="13" t="s">
        <v>29</v>
      </c>
      <c r="G6" s="13" t="s">
        <v>30</v>
      </c>
      <c r="H6" s="13" t="s">
        <v>31</v>
      </c>
    </row>
    <row r="7">
      <c r="B7" s="2" t="s">
        <v>32</v>
      </c>
      <c r="C7" s="2">
        <v>2000.0</v>
      </c>
      <c r="D7" s="2">
        <v>2.0</v>
      </c>
      <c r="E7" s="14">
        <f t="shared" ref="E7:E13" si="1">C7/1000</f>
        <v>2</v>
      </c>
      <c r="F7" s="14">
        <f t="shared" ref="F7:F13" si="2">D7*30</f>
        <v>60</v>
      </c>
      <c r="G7" s="14">
        <f t="shared" ref="G7:G13" si="3">E7*F7</f>
        <v>120</v>
      </c>
      <c r="H7" s="14">
        <f t="shared" ref="H7:H13" si="4">0.055*G7</f>
        <v>6.6</v>
      </c>
    </row>
    <row r="8">
      <c r="B8" s="2" t="s">
        <v>33</v>
      </c>
      <c r="C8" s="2">
        <v>150.0</v>
      </c>
      <c r="D8" s="2">
        <v>5.0</v>
      </c>
      <c r="E8" s="14">
        <f t="shared" si="1"/>
        <v>0.15</v>
      </c>
      <c r="F8" s="14">
        <f t="shared" si="2"/>
        <v>150</v>
      </c>
      <c r="G8" s="14">
        <f t="shared" si="3"/>
        <v>22.5</v>
      </c>
      <c r="H8" s="14">
        <f t="shared" si="4"/>
        <v>1.2375</v>
      </c>
    </row>
    <row r="9">
      <c r="B9" s="2" t="s">
        <v>34</v>
      </c>
      <c r="C9" s="2">
        <v>300.0</v>
      </c>
      <c r="D9" s="2">
        <v>4.0</v>
      </c>
      <c r="E9" s="14">
        <f t="shared" si="1"/>
        <v>0.3</v>
      </c>
      <c r="F9" s="14">
        <f t="shared" si="2"/>
        <v>120</v>
      </c>
      <c r="G9" s="14">
        <f t="shared" si="3"/>
        <v>36</v>
      </c>
      <c r="H9" s="14">
        <f t="shared" si="4"/>
        <v>1.98</v>
      </c>
    </row>
    <row r="10">
      <c r="B10" s="2" t="s">
        <v>35</v>
      </c>
      <c r="C10" s="2">
        <v>1800.0</v>
      </c>
      <c r="D10" s="2">
        <v>1.5</v>
      </c>
      <c r="E10" s="14">
        <f t="shared" si="1"/>
        <v>1.8</v>
      </c>
      <c r="F10" s="14">
        <f t="shared" si="2"/>
        <v>45</v>
      </c>
      <c r="G10" s="14">
        <f t="shared" si="3"/>
        <v>81</v>
      </c>
      <c r="H10" s="14">
        <f t="shared" si="4"/>
        <v>4.455</v>
      </c>
    </row>
    <row r="11">
      <c r="B11" s="2" t="s">
        <v>36</v>
      </c>
      <c r="C11" s="2">
        <v>500.0</v>
      </c>
      <c r="D11" s="2">
        <v>5.0</v>
      </c>
      <c r="E11" s="14">
        <f t="shared" si="1"/>
        <v>0.5</v>
      </c>
      <c r="F11" s="14">
        <f t="shared" si="2"/>
        <v>150</v>
      </c>
      <c r="G11" s="14">
        <f t="shared" si="3"/>
        <v>75</v>
      </c>
      <c r="H11" s="14">
        <f t="shared" si="4"/>
        <v>4.125</v>
      </c>
    </row>
    <row r="12">
      <c r="B12" s="2" t="s">
        <v>37</v>
      </c>
      <c r="C12" s="2">
        <v>1100.0</v>
      </c>
      <c r="D12" s="2">
        <v>1.0</v>
      </c>
      <c r="E12" s="14">
        <f t="shared" si="1"/>
        <v>1.1</v>
      </c>
      <c r="F12" s="14">
        <f t="shared" si="2"/>
        <v>30</v>
      </c>
      <c r="G12" s="14">
        <f t="shared" si="3"/>
        <v>33</v>
      </c>
      <c r="H12" s="14">
        <f t="shared" si="4"/>
        <v>1.815</v>
      </c>
    </row>
    <row r="13">
      <c r="B13" s="2" t="s">
        <v>38</v>
      </c>
      <c r="C13" s="2">
        <v>250.0</v>
      </c>
      <c r="D13" s="2">
        <v>4.0</v>
      </c>
      <c r="E13" s="14">
        <f t="shared" si="1"/>
        <v>0.25</v>
      </c>
      <c r="F13" s="14">
        <f t="shared" si="2"/>
        <v>120</v>
      </c>
      <c r="G13" s="14">
        <f t="shared" si="3"/>
        <v>30</v>
      </c>
      <c r="H13" s="14">
        <f t="shared" si="4"/>
        <v>1.65</v>
      </c>
    </row>
    <row r="16">
      <c r="G16" s="3" t="s">
        <v>39</v>
      </c>
      <c r="H16" s="3">
        <f>SUM(H7:H13)</f>
        <v>21.8625</v>
      </c>
    </row>
    <row r="18">
      <c r="G18" s="3" t="s">
        <v>40</v>
      </c>
      <c r="H18" s="15">
        <f>H16*0.16</f>
        <v>3.498</v>
      </c>
    </row>
    <row r="20">
      <c r="G20" s="3" t="s">
        <v>41</v>
      </c>
      <c r="H20" s="15">
        <f>SUM(H16+H18)</f>
        <v>25.3605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  <col customWidth="1" min="4" max="4" width="23.5"/>
    <col customWidth="1" min="5" max="5" width="25.0"/>
    <col customWidth="1" min="6" max="6" width="23.38"/>
  </cols>
  <sheetData>
    <row r="1">
      <c r="A1" s="3" t="s">
        <v>42</v>
      </c>
    </row>
    <row r="3">
      <c r="B3" s="3" t="s">
        <v>43</v>
      </c>
    </row>
    <row r="7">
      <c r="B7" s="16" t="s">
        <v>44</v>
      </c>
      <c r="C7" s="16" t="s">
        <v>45</v>
      </c>
      <c r="D7" s="16" t="s">
        <v>46</v>
      </c>
      <c r="E7" s="16" t="s">
        <v>47</v>
      </c>
      <c r="F7" s="16" t="s">
        <v>48</v>
      </c>
      <c r="G7" s="16" t="s">
        <v>49</v>
      </c>
    </row>
    <row r="8">
      <c r="B8" s="2" t="s">
        <v>50</v>
      </c>
      <c r="C8" s="17">
        <v>65000.0</v>
      </c>
      <c r="D8" s="18">
        <v>64889.0</v>
      </c>
      <c r="E8" s="19">
        <f t="shared" ref="E8:E13" si="1">D8*100/C8</f>
        <v>99.82923077</v>
      </c>
      <c r="F8" s="18">
        <f t="shared" ref="F8:F13" si="2">C8-D8</f>
        <v>111</v>
      </c>
      <c r="G8" s="18" t="s">
        <v>51</v>
      </c>
    </row>
    <row r="9">
      <c r="B9" s="2" t="s">
        <v>52</v>
      </c>
      <c r="C9" s="17">
        <v>57000.0</v>
      </c>
      <c r="D9" s="20">
        <v>20000.0</v>
      </c>
      <c r="E9" s="19">
        <f t="shared" si="1"/>
        <v>35.0877193</v>
      </c>
      <c r="F9" s="18">
        <f t="shared" si="2"/>
        <v>37000</v>
      </c>
      <c r="G9" s="18" t="s">
        <v>51</v>
      </c>
    </row>
    <row r="10">
      <c r="B10" s="2" t="s">
        <v>53</v>
      </c>
      <c r="C10" s="17">
        <v>45000.0</v>
      </c>
      <c r="D10" s="18">
        <v>39879.0</v>
      </c>
      <c r="E10" s="19">
        <f t="shared" si="1"/>
        <v>88.62</v>
      </c>
      <c r="F10" s="18">
        <f t="shared" si="2"/>
        <v>5121</v>
      </c>
      <c r="G10" s="18" t="s">
        <v>54</v>
      </c>
    </row>
    <row r="11">
      <c r="B11" s="2" t="s">
        <v>55</v>
      </c>
      <c r="C11" s="17">
        <v>30000.0</v>
      </c>
      <c r="D11" s="18">
        <v>29471.0</v>
      </c>
      <c r="E11" s="19">
        <f t="shared" si="1"/>
        <v>98.23666667</v>
      </c>
      <c r="F11" s="18">
        <f t="shared" si="2"/>
        <v>529</v>
      </c>
      <c r="G11" s="18" t="s">
        <v>54</v>
      </c>
    </row>
    <row r="12">
      <c r="B12" s="2" t="s">
        <v>56</v>
      </c>
      <c r="C12" s="17">
        <v>25000.0</v>
      </c>
      <c r="D12" s="18">
        <v>24659.0</v>
      </c>
      <c r="E12" s="19">
        <f t="shared" si="1"/>
        <v>98.636</v>
      </c>
      <c r="F12" s="18">
        <f t="shared" si="2"/>
        <v>341</v>
      </c>
      <c r="G12" s="18" t="s">
        <v>54</v>
      </c>
      <c r="L12" s="3"/>
    </row>
    <row r="13">
      <c r="B13" s="2" t="s">
        <v>57</v>
      </c>
      <c r="C13" s="17">
        <v>20000.0</v>
      </c>
      <c r="D13" s="18">
        <v>19819.0</v>
      </c>
      <c r="E13" s="19">
        <f t="shared" si="1"/>
        <v>99.095</v>
      </c>
      <c r="F13" s="18">
        <f t="shared" si="2"/>
        <v>181</v>
      </c>
      <c r="G13" s="18" t="s">
        <v>51</v>
      </c>
    </row>
    <row r="17">
      <c r="F17" s="3" t="s">
        <v>58</v>
      </c>
      <c r="G17" s="20">
        <v>3.0</v>
      </c>
    </row>
    <row r="18">
      <c r="F18" s="3" t="s">
        <v>59</v>
      </c>
      <c r="G18" s="20">
        <v>3.0</v>
      </c>
    </row>
    <row r="20">
      <c r="F20" s="3" t="s">
        <v>60</v>
      </c>
      <c r="G20" s="20" t="s">
        <v>61</v>
      </c>
    </row>
  </sheetData>
  <drawing r:id="rId1"/>
</worksheet>
</file>
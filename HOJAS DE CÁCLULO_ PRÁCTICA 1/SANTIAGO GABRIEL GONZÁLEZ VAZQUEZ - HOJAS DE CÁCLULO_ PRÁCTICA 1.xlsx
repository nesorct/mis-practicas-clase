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2" sheetId="2" r:id="rId6"/>
    <sheet state="visible" name="Hoja 3" sheetId="3" r:id="rId7"/>
    <sheet state="visible" name="Hoja 4" sheetId="4" r:id="rId8"/>
    <sheet state="visible" name="Hoja 5" sheetId="5" r:id="rId9"/>
  </sheets>
  <definedNames/>
  <calcPr/>
</workbook>
</file>

<file path=xl/sharedStrings.xml><?xml version="1.0" encoding="utf-8"?>
<sst xmlns="http://schemas.openxmlformats.org/spreadsheetml/2006/main" count="77" uniqueCount="63">
  <si>
    <t>Localidad</t>
  </si>
  <si>
    <t xml:space="preserve">N de plazas </t>
  </si>
  <si>
    <t xml:space="preserve">Promedio de ocupacion </t>
  </si>
  <si>
    <t>Porcentaje de ocupacion</t>
  </si>
  <si>
    <t xml:space="preserve">Diferencia </t>
  </si>
  <si>
    <t>¿Rentable?</t>
  </si>
  <si>
    <t>Madrid</t>
  </si>
  <si>
    <t>Barcelona</t>
  </si>
  <si>
    <t>Valencia</t>
  </si>
  <si>
    <t xml:space="preserve">Zaragoza </t>
  </si>
  <si>
    <t>Sevilla</t>
  </si>
  <si>
    <t>Bilbao</t>
  </si>
  <si>
    <t xml:space="preserve">N campos rentables </t>
  </si>
  <si>
    <t>N campos no rentables</t>
  </si>
  <si>
    <t>Es rentable en conjunto</t>
  </si>
  <si>
    <t>Columna 1</t>
  </si>
  <si>
    <t>Columna 2</t>
  </si>
  <si>
    <t>Columna 3</t>
  </si>
  <si>
    <t>Columna 4</t>
  </si>
  <si>
    <t>Columna 5</t>
  </si>
  <si>
    <t>kwh=</t>
  </si>
  <si>
    <t>0,055</t>
  </si>
  <si>
    <t>aparato</t>
  </si>
  <si>
    <t>potencia-watios</t>
  </si>
  <si>
    <t>horas de funcionamiento directo</t>
  </si>
  <si>
    <t>potencia-kw</t>
  </si>
  <si>
    <t>horas mensuales</t>
  </si>
  <si>
    <t>energia-KWH</t>
  </si>
  <si>
    <t>coste</t>
  </si>
  <si>
    <t>lavadora</t>
  </si>
  <si>
    <t>television</t>
  </si>
  <si>
    <t>frigorifico</t>
  </si>
  <si>
    <t>lavavajillas</t>
  </si>
  <si>
    <t>iluminacion</t>
  </si>
  <si>
    <t>plancha</t>
  </si>
  <si>
    <t>ordenador</t>
  </si>
  <si>
    <t>total=</t>
  </si>
  <si>
    <t>IVA 16%</t>
  </si>
  <si>
    <t>TOTAL CON IVA=</t>
  </si>
  <si>
    <t>numero</t>
  </si>
  <si>
    <t>tabla</t>
  </si>
  <si>
    <t>operacion</t>
  </si>
  <si>
    <t>resultado</t>
  </si>
  <si>
    <t>x</t>
  </si>
  <si>
    <t xml:space="preserve">Alumnos </t>
  </si>
  <si>
    <t xml:space="preserve">Notas </t>
  </si>
  <si>
    <t xml:space="preserve">nota media </t>
  </si>
  <si>
    <t xml:space="preserve">Pablo </t>
  </si>
  <si>
    <t xml:space="preserve">Luis </t>
  </si>
  <si>
    <t>Juan m</t>
  </si>
  <si>
    <t xml:space="preserve">Emilio </t>
  </si>
  <si>
    <t>Izan</t>
  </si>
  <si>
    <t>Columna 6</t>
  </si>
  <si>
    <t>Enero</t>
  </si>
  <si>
    <t xml:space="preserve">Febrero </t>
  </si>
  <si>
    <t>Marzo</t>
  </si>
  <si>
    <t>Total Trimestre</t>
  </si>
  <si>
    <t>Gym</t>
  </si>
  <si>
    <t>Comida</t>
  </si>
  <si>
    <t>Ocio</t>
  </si>
  <si>
    <t xml:space="preserve">Agua </t>
  </si>
  <si>
    <t>Electricidad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</si>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</sst>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sz val="11.0"/>
      <color rgb="FF0A0A0A"/>
      <name val="Google Sans"/>
    </font>
    <font/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rgb="FFFCE8B2"/>
        <bgColor rgb="FFFCE8B2"/>
      </patternFill>
    </fill>
    <fill>
      <patternFill patternType="solid">
        <fgColor rgb="FFF4C7C3"/>
        <bgColor rgb="FFF4C7C3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DCDFE5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1" numFmtId="0" xfId="0" applyAlignment="1" applyBorder="1" applyFill="1" applyFont="1">
      <alignment vertical="bottom"/>
    </xf>
    <xf borderId="1" fillId="3" fontId="1" numFmtId="0" xfId="0" applyAlignment="1" applyBorder="1" applyFill="1" applyFont="1">
      <alignment vertical="bottom"/>
    </xf>
    <xf borderId="1" fillId="0" fontId="1" numFmtId="0" xfId="0" applyAlignment="1" applyBorder="1" applyFont="1">
      <alignment horizontal="right" vertical="bottom"/>
    </xf>
    <xf borderId="1" fillId="0" fontId="1" numFmtId="0" xfId="0" applyAlignment="1" applyBorder="1" applyFont="1">
      <alignment vertical="bottom"/>
    </xf>
    <xf borderId="0" fillId="4" fontId="1" numFmtId="0" xfId="0" applyAlignment="1" applyFill="1" applyFont="1">
      <alignment vertical="bottom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horizontal="right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right" shrinkToFit="0" vertical="bottom" wrapText="0"/>
    </xf>
    <xf borderId="2" fillId="5" fontId="2" numFmtId="0" xfId="0" applyAlignment="1" applyBorder="1" applyFill="1" applyFont="1">
      <alignment horizontal="right" shrinkToFit="0" vertical="top" wrapText="0"/>
    </xf>
    <xf borderId="0" fillId="5" fontId="2" numFmtId="0" xfId="0" applyAlignment="1" applyFont="1">
      <alignment horizontal="right" shrinkToFit="0" vertical="top" wrapText="0"/>
    </xf>
    <xf borderId="1" fillId="0" fontId="1" numFmtId="0" xfId="0" applyAlignment="1" applyBorder="1" applyFont="1">
      <alignment horizontal="center" vertical="bottom"/>
    </xf>
    <xf borderId="1" fillId="4" fontId="1" numFmtId="0" xfId="0" applyAlignment="1" applyBorder="1" applyFont="1">
      <alignment vertical="bottom"/>
    </xf>
    <xf borderId="3" fillId="4" fontId="1" numFmtId="0" xfId="0" applyAlignment="1" applyBorder="1" applyFont="1">
      <alignment horizontal="center" vertical="bottom"/>
    </xf>
    <xf borderId="4" fillId="0" fontId="3" numFmtId="0" xfId="0" applyBorder="1" applyFont="1"/>
    <xf borderId="5" fillId="0" fontId="3" numFmtId="0" xfId="0" applyBorder="1" applyFont="1"/>
    <xf borderId="1" fillId="6" fontId="1" numFmtId="0" xfId="0" applyAlignment="1" applyBorder="1" applyFill="1" applyFont="1">
      <alignment horizontal="right" vertical="bottom"/>
    </xf>
    <xf borderId="1" fillId="7" fontId="1" numFmtId="0" xfId="0" applyAlignment="1" applyBorder="1" applyFill="1" applyFont="1">
      <alignment horizontal="right" vertical="bottom"/>
    </xf>
    <xf borderId="1" fillId="8" fontId="1" numFmtId="0" xfId="0" applyAlignment="1" applyBorder="1" applyFill="1" applyFont="1">
      <alignment horizontal="right" vertical="bottom"/>
    </xf>
    <xf borderId="0" fillId="0" fontId="4" numFmtId="0" xfId="0" applyAlignment="1" applyFont="1">
      <alignment horizontal="left" readingOrder="0"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1" fillId="0" fontId="4" numFmtId="0" xfId="0" applyAlignment="1" applyBorder="1" applyFon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5" pivot="0" name="Hoja 2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4" pivot="0" name="Hoja 5-style">
      <tableStyleElement dxfId="1" type="headerRow"/>
      <tableStyleElement dxfId="2" type="firstRowStripe"/>
      <tableStyleElement dxfId="3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G17" displayName="Tabla_1" name="Tabla_1" id="1">
  <tableColumns count="7">
    <tableColumn name="Columna 1" id="1"/>
    <tableColumn name="Columna 2" id="2"/>
    <tableColumn name="Columna 3" id="3"/>
    <tableColumn name="Columna 4" id="4"/>
    <tableColumn name="Columna 5" id="5"/>
    <tableColumn totalsRowLabel="TOTAL CON IVA=" name="kwh=" id="6"/>
    <tableColumn totalsRowFunction="custom" name="0,055" id="7"/>
  </tableColumns>
  <tableStyleInfo name="Hoja 2-style" showColumnStripes="0" showFirstColumn="1" showLastColumn="1" showRowStripes="1"/>
</table>
</file>

<file path=xl/tables/table2.xml><?xml version="1.0" encoding="utf-8"?>
<table xmlns="http://schemas.openxmlformats.org/spreadsheetml/2006/main" ref="B1:G9" displayName="Tabla_2" name="Tabla_2" id="2">
  <tableColumns count="6">
    <tableColumn name="Columna 1" id="1"/>
    <tableColumn name="Columna 2" id="2"/>
    <tableColumn name="Columna 3" id="3"/>
    <tableColumn name="Columna 4" id="4"/>
    <tableColumn name="Columna 5" id="5"/>
    <tableColumn name="Columna 6" id="6"/>
  </tableColumns>
  <tableStyleInfo name="Hoja 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88"/>
    <col customWidth="1" min="5" max="5" width="16.5"/>
    <col customWidth="1" min="6" max="6" width="21.0"/>
  </cols>
  <sheetData>
    <row r="4">
      <c r="C4" s="1"/>
      <c r="D4" s="1"/>
      <c r="E4" s="1"/>
      <c r="F4" s="1"/>
      <c r="G4" s="1"/>
      <c r="H4" s="1"/>
      <c r="I4" s="1"/>
    </row>
    <row r="5" ht="21.0" customHeight="1">
      <c r="C5" s="1"/>
      <c r="D5" s="2" t="s">
        <v>0</v>
      </c>
      <c r="E5" s="2" t="s">
        <v>1</v>
      </c>
      <c r="F5" s="2" t="s">
        <v>2</v>
      </c>
      <c r="G5" s="2" t="s">
        <v>3</v>
      </c>
      <c r="H5" s="2" t="s">
        <v>4</v>
      </c>
      <c r="I5" s="2" t="s">
        <v>5</v>
      </c>
    </row>
    <row r="6" ht="19.5" customHeight="1">
      <c r="C6" s="1"/>
      <c r="D6" s="3" t="s">
        <v>6</v>
      </c>
      <c r="E6" s="4">
        <v>65000.0</v>
      </c>
      <c r="F6" s="4">
        <v>40000.0</v>
      </c>
      <c r="G6" s="4">
        <f t="shared" ref="G6:G11" si="1">F6*100/E6</f>
        <v>61.53846154</v>
      </c>
      <c r="H6" s="4">
        <f t="shared" ref="H6:H11" si="2">E6-F6</f>
        <v>25000</v>
      </c>
      <c r="I6" s="5" t="str">
        <f t="shared" ref="I6:I11" si="3">IF(G6&gt;=60,"si","no")</f>
        <v>si</v>
      </c>
    </row>
    <row r="7" ht="21.75" customHeight="1">
      <c r="C7" s="1"/>
      <c r="D7" s="3" t="s">
        <v>7</v>
      </c>
      <c r="E7" s="4">
        <v>57000.0</v>
      </c>
      <c r="F7" s="4">
        <v>25000.0</v>
      </c>
      <c r="G7" s="4">
        <f t="shared" si="1"/>
        <v>43.85964912</v>
      </c>
      <c r="H7" s="4">
        <f t="shared" si="2"/>
        <v>32000</v>
      </c>
      <c r="I7" s="5" t="str">
        <f t="shared" si="3"/>
        <v>no</v>
      </c>
    </row>
    <row r="8" ht="20.25" customHeight="1">
      <c r="C8" s="1"/>
      <c r="D8" s="3" t="s">
        <v>8</v>
      </c>
      <c r="E8" s="4">
        <v>45000.0</v>
      </c>
      <c r="F8" s="4">
        <v>34000.0</v>
      </c>
      <c r="G8" s="4">
        <f t="shared" si="1"/>
        <v>75.55555556</v>
      </c>
      <c r="H8" s="4">
        <f t="shared" si="2"/>
        <v>11000</v>
      </c>
      <c r="I8" s="5" t="str">
        <f t="shared" si="3"/>
        <v>si</v>
      </c>
    </row>
    <row r="9" ht="19.5" customHeight="1">
      <c r="C9" s="1"/>
      <c r="D9" s="3" t="s">
        <v>9</v>
      </c>
      <c r="E9" s="4">
        <v>30000.0</v>
      </c>
      <c r="F9" s="4">
        <v>10000.0</v>
      </c>
      <c r="G9" s="4">
        <f t="shared" si="1"/>
        <v>33.33333333</v>
      </c>
      <c r="H9" s="4">
        <f t="shared" si="2"/>
        <v>20000</v>
      </c>
      <c r="I9" s="5" t="str">
        <f t="shared" si="3"/>
        <v>no</v>
      </c>
    </row>
    <row r="10" ht="22.5" customHeight="1">
      <c r="C10" s="1"/>
      <c r="D10" s="3" t="s">
        <v>10</v>
      </c>
      <c r="E10" s="4">
        <v>25000.0</v>
      </c>
      <c r="F10" s="4">
        <v>12000.0</v>
      </c>
      <c r="G10" s="4">
        <f t="shared" si="1"/>
        <v>48</v>
      </c>
      <c r="H10" s="4">
        <f t="shared" si="2"/>
        <v>13000</v>
      </c>
      <c r="I10" s="5" t="str">
        <f t="shared" si="3"/>
        <v>no</v>
      </c>
    </row>
    <row r="11" ht="24.75" customHeight="1">
      <c r="C11" s="1"/>
      <c r="D11" s="3" t="s">
        <v>11</v>
      </c>
      <c r="E11" s="4">
        <v>20000.0</v>
      </c>
      <c r="F11" s="4">
        <v>12000.0</v>
      </c>
      <c r="G11" s="4">
        <f t="shared" si="1"/>
        <v>60</v>
      </c>
      <c r="H11" s="4">
        <f t="shared" si="2"/>
        <v>8000</v>
      </c>
      <c r="I11" s="5" t="str">
        <f t="shared" si="3"/>
        <v>si</v>
      </c>
    </row>
    <row r="12">
      <c r="C12" s="1"/>
      <c r="D12" s="1"/>
      <c r="E12" s="1"/>
      <c r="F12" s="1"/>
      <c r="G12" s="1"/>
      <c r="H12" s="1"/>
      <c r="I12" s="1"/>
    </row>
    <row r="13">
      <c r="C13" s="1"/>
      <c r="D13" s="1"/>
      <c r="E13" s="1"/>
      <c r="F13" s="1"/>
      <c r="G13" s="1"/>
      <c r="H13" s="6" t="s">
        <v>12</v>
      </c>
      <c r="I13" s="4">
        <f>COUNTIF(I6:I11,"si")</f>
        <v>3</v>
      </c>
    </row>
    <row r="14">
      <c r="C14" s="1"/>
      <c r="D14" s="1"/>
      <c r="E14" s="1"/>
      <c r="F14" s="1"/>
      <c r="G14" s="1"/>
      <c r="H14" s="6" t="s">
        <v>13</v>
      </c>
      <c r="I14" s="4">
        <f>COUNTIF(I6:I11,"no")</f>
        <v>3</v>
      </c>
    </row>
    <row r="15">
      <c r="C15" s="1"/>
      <c r="D15" s="1"/>
      <c r="E15" s="1"/>
      <c r="F15" s="1"/>
      <c r="G15" s="1"/>
      <c r="H15" s="1"/>
      <c r="I15" s="1"/>
    </row>
    <row r="16">
      <c r="C16" s="1"/>
      <c r="D16" s="1"/>
      <c r="E16" s="1"/>
      <c r="F16" s="1"/>
      <c r="G16" s="1"/>
      <c r="H16" s="6" t="s">
        <v>14</v>
      </c>
      <c r="I16" s="5" t="str">
        <f>IF(I13&gt;=3,"si","no")</f>
        <v>si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2" max="2" width="13.88"/>
    <col customWidth="1" min="3" max="3" width="26.0"/>
    <col customWidth="1" min="4" max="4" width="13.5"/>
    <col customWidth="1" min="5" max="5" width="14.88"/>
    <col customWidth="1" min="6" max="6" width="15.63"/>
  </cols>
  <sheetData>
    <row r="1" ht="22.5" customHeight="1">
      <c r="A1" s="7" t="s">
        <v>15</v>
      </c>
      <c r="B1" s="7" t="s">
        <v>16</v>
      </c>
      <c r="C1" s="7" t="s">
        <v>17</v>
      </c>
      <c r="D1" s="7" t="s">
        <v>18</v>
      </c>
      <c r="E1" s="7" t="s">
        <v>19</v>
      </c>
      <c r="F1" s="7" t="s">
        <v>20</v>
      </c>
      <c r="G1" s="8" t="s">
        <v>21</v>
      </c>
    </row>
    <row r="2" ht="22.5" customHeight="1">
      <c r="A2" s="9" t="s">
        <v>22</v>
      </c>
      <c r="B2" s="9" t="s">
        <v>23</v>
      </c>
      <c r="C2" s="9" t="s">
        <v>24</v>
      </c>
      <c r="D2" s="9" t="s">
        <v>25</v>
      </c>
      <c r="E2" s="9" t="s">
        <v>26</v>
      </c>
      <c r="F2" s="9" t="s">
        <v>27</v>
      </c>
      <c r="G2" s="9" t="s">
        <v>28</v>
      </c>
    </row>
    <row r="3" ht="22.5" customHeight="1">
      <c r="A3" s="9" t="s">
        <v>29</v>
      </c>
      <c r="B3" s="10">
        <v>2000.0</v>
      </c>
      <c r="C3" s="10">
        <v>2.0</v>
      </c>
      <c r="D3" s="10">
        <f t="shared" ref="D3:D9" si="1">B3/1000</f>
        <v>2</v>
      </c>
      <c r="E3" s="10">
        <v>60.0</v>
      </c>
      <c r="F3" s="10">
        <v>120.0</v>
      </c>
      <c r="G3" s="10">
        <v>6.6</v>
      </c>
    </row>
    <row r="4" ht="22.5" customHeight="1">
      <c r="A4" s="9" t="s">
        <v>30</v>
      </c>
      <c r="B4" s="10">
        <v>150.0</v>
      </c>
      <c r="C4" s="10">
        <v>5.0</v>
      </c>
      <c r="D4" s="10">
        <f t="shared" si="1"/>
        <v>0.15</v>
      </c>
      <c r="E4" s="10">
        <v>150.0</v>
      </c>
      <c r="F4" s="10">
        <v>22.5</v>
      </c>
      <c r="G4" s="10">
        <v>1.2375</v>
      </c>
    </row>
    <row r="5" ht="22.5" customHeight="1">
      <c r="A5" s="9" t="s">
        <v>31</v>
      </c>
      <c r="B5" s="10">
        <v>300.0</v>
      </c>
      <c r="C5" s="10">
        <v>4.0</v>
      </c>
      <c r="D5" s="10">
        <f t="shared" si="1"/>
        <v>0.3</v>
      </c>
      <c r="E5" s="10">
        <v>120.0</v>
      </c>
      <c r="F5" s="10">
        <v>36.0</v>
      </c>
      <c r="G5" s="10">
        <v>1.98</v>
      </c>
    </row>
    <row r="6" ht="22.5" customHeight="1">
      <c r="A6" s="9" t="s">
        <v>32</v>
      </c>
      <c r="B6" s="10">
        <v>1800.0</v>
      </c>
      <c r="C6" s="10">
        <v>1.5</v>
      </c>
      <c r="D6" s="10">
        <f t="shared" si="1"/>
        <v>1.8</v>
      </c>
      <c r="E6" s="10">
        <v>45.0</v>
      </c>
      <c r="F6" s="10">
        <v>81.0</v>
      </c>
      <c r="G6" s="10">
        <v>4.5</v>
      </c>
    </row>
    <row r="7" ht="22.5" customHeight="1">
      <c r="A7" s="9" t="s">
        <v>33</v>
      </c>
      <c r="B7" s="10">
        <v>500.0</v>
      </c>
      <c r="C7" s="10">
        <v>5.0</v>
      </c>
      <c r="D7" s="10">
        <f t="shared" si="1"/>
        <v>0.5</v>
      </c>
      <c r="E7" s="10">
        <v>150.0</v>
      </c>
      <c r="F7" s="10">
        <v>75.0</v>
      </c>
      <c r="G7" s="10">
        <v>4.1</v>
      </c>
    </row>
    <row r="8" ht="22.5" customHeight="1">
      <c r="A8" s="9" t="s">
        <v>34</v>
      </c>
      <c r="B8" s="10">
        <v>1100.0</v>
      </c>
      <c r="C8" s="10">
        <v>1.0</v>
      </c>
      <c r="D8" s="10">
        <f t="shared" si="1"/>
        <v>1.1</v>
      </c>
      <c r="E8" s="10">
        <v>30.0</v>
      </c>
      <c r="F8" s="10">
        <v>33.0</v>
      </c>
      <c r="G8" s="10">
        <v>1.8</v>
      </c>
    </row>
    <row r="9" ht="22.5" customHeight="1">
      <c r="A9" s="9" t="s">
        <v>35</v>
      </c>
      <c r="B9" s="10">
        <v>250.0</v>
      </c>
      <c r="C9" s="10">
        <v>4.0</v>
      </c>
      <c r="D9" s="10">
        <f t="shared" si="1"/>
        <v>0.25</v>
      </c>
      <c r="E9" s="10">
        <v>120.0</v>
      </c>
      <c r="F9" s="10">
        <v>30.0</v>
      </c>
      <c r="G9" s="10">
        <v>1.6</v>
      </c>
    </row>
    <row r="10" ht="22.5" customHeight="1">
      <c r="A10" s="11"/>
      <c r="B10" s="11"/>
      <c r="C10" s="11"/>
      <c r="D10" s="11"/>
      <c r="E10" s="11"/>
      <c r="F10" s="11"/>
      <c r="G10" s="11"/>
    </row>
    <row r="11" ht="22.5" customHeight="1">
      <c r="A11" s="11"/>
      <c r="B11" s="11"/>
      <c r="C11" s="11"/>
      <c r="D11" s="11"/>
      <c r="E11" s="11"/>
      <c r="F11" s="11"/>
      <c r="G11" s="11"/>
    </row>
    <row r="12" ht="22.5" customHeight="1">
      <c r="A12" s="11"/>
      <c r="B12" s="11"/>
      <c r="C12" s="11"/>
      <c r="D12" s="11"/>
      <c r="E12" s="11"/>
      <c r="F12" s="11"/>
      <c r="G12" s="11"/>
    </row>
    <row r="13" ht="22.5" customHeight="1">
      <c r="A13" s="11"/>
      <c r="B13" s="11"/>
      <c r="C13" s="11"/>
      <c r="D13" s="11"/>
      <c r="E13" s="11"/>
      <c r="F13" s="9" t="s">
        <v>36</v>
      </c>
      <c r="G13" s="12">
        <f>SUM(G3:G9)</f>
        <v>21.8175</v>
      </c>
    </row>
    <row r="14" ht="22.5" customHeight="1">
      <c r="A14" s="11"/>
      <c r="B14" s="11"/>
      <c r="C14" s="11"/>
      <c r="D14" s="11"/>
      <c r="E14" s="11"/>
      <c r="F14" s="11"/>
      <c r="G14" s="11"/>
    </row>
    <row r="15" ht="22.5" customHeight="1">
      <c r="A15" s="11"/>
      <c r="B15" s="11"/>
      <c r="C15" s="11"/>
      <c r="D15" s="11"/>
      <c r="E15" s="11"/>
      <c r="F15" s="9" t="s">
        <v>37</v>
      </c>
      <c r="G15" s="13">
        <f>G13 * 0.16</f>
        <v>3.4908</v>
      </c>
    </row>
    <row r="16" ht="22.5" customHeight="1">
      <c r="A16" s="11"/>
      <c r="B16" s="11"/>
      <c r="C16" s="11"/>
      <c r="D16" s="11"/>
      <c r="E16" s="11"/>
      <c r="F16" s="11"/>
      <c r="G16" s="11"/>
    </row>
    <row r="17" ht="22.5" customHeight="1">
      <c r="A17" s="11"/>
      <c r="B17" s="11"/>
      <c r="C17" s="11"/>
      <c r="D17" s="11"/>
      <c r="E17" s="11"/>
      <c r="F17" s="9" t="s">
        <v>38</v>
      </c>
      <c r="G17" s="14">
        <f>G13 + G14</f>
        <v>21.8175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"/>
      <c r="C3" s="1"/>
      <c r="D3" s="1"/>
      <c r="E3" s="1"/>
      <c r="F3" s="1"/>
      <c r="G3" s="1"/>
    </row>
    <row r="4">
      <c r="B4" s="1"/>
      <c r="C4" s="3" t="s">
        <v>39</v>
      </c>
      <c r="D4" s="3" t="s">
        <v>40</v>
      </c>
      <c r="E4" s="3" t="s">
        <v>41</v>
      </c>
      <c r="F4" s="3" t="s">
        <v>42</v>
      </c>
      <c r="G4" s="1"/>
    </row>
    <row r="5">
      <c r="B5" s="1"/>
      <c r="C5" s="4">
        <v>5.0</v>
      </c>
      <c r="D5" s="15" t="s">
        <v>43</v>
      </c>
      <c r="E5" s="4">
        <v>1.0</v>
      </c>
      <c r="F5" s="4">
        <f t="shared" ref="F5:F14" si="1">C5*E5</f>
        <v>5</v>
      </c>
      <c r="G5" s="1"/>
    </row>
    <row r="6">
      <c r="B6" s="1"/>
      <c r="C6" s="4">
        <v>5.0</v>
      </c>
      <c r="D6" s="15" t="s">
        <v>43</v>
      </c>
      <c r="E6" s="4">
        <v>2.0</v>
      </c>
      <c r="F6" s="4">
        <f t="shared" si="1"/>
        <v>10</v>
      </c>
      <c r="G6" s="1"/>
    </row>
    <row r="7">
      <c r="B7" s="1"/>
      <c r="C7" s="4">
        <v>5.0</v>
      </c>
      <c r="D7" s="15" t="s">
        <v>43</v>
      </c>
      <c r="E7" s="4">
        <v>3.0</v>
      </c>
      <c r="F7" s="4">
        <f t="shared" si="1"/>
        <v>15</v>
      </c>
      <c r="G7" s="1"/>
    </row>
    <row r="8">
      <c r="B8" s="1"/>
      <c r="C8" s="4">
        <v>5.0</v>
      </c>
      <c r="D8" s="15" t="s">
        <v>43</v>
      </c>
      <c r="E8" s="4">
        <v>4.0</v>
      </c>
      <c r="F8" s="4">
        <f t="shared" si="1"/>
        <v>20</v>
      </c>
      <c r="G8" s="1"/>
    </row>
    <row r="9">
      <c r="B9" s="1"/>
      <c r="C9" s="4">
        <v>5.0</v>
      </c>
      <c r="D9" s="15" t="s">
        <v>43</v>
      </c>
      <c r="E9" s="4">
        <v>5.0</v>
      </c>
      <c r="F9" s="4">
        <f t="shared" si="1"/>
        <v>25</v>
      </c>
      <c r="G9" s="1"/>
    </row>
    <row r="10">
      <c r="B10" s="1"/>
      <c r="C10" s="4">
        <v>5.0</v>
      </c>
      <c r="D10" s="15" t="s">
        <v>43</v>
      </c>
      <c r="E10" s="4">
        <v>6.0</v>
      </c>
      <c r="F10" s="4">
        <f t="shared" si="1"/>
        <v>30</v>
      </c>
      <c r="G10" s="1"/>
    </row>
    <row r="11">
      <c r="B11" s="1"/>
      <c r="C11" s="4">
        <v>5.0</v>
      </c>
      <c r="D11" s="15" t="s">
        <v>43</v>
      </c>
      <c r="E11" s="4">
        <v>7.0</v>
      </c>
      <c r="F11" s="4">
        <f t="shared" si="1"/>
        <v>35</v>
      </c>
      <c r="G11" s="1"/>
    </row>
    <row r="12">
      <c r="B12" s="1"/>
      <c r="C12" s="4">
        <v>5.0</v>
      </c>
      <c r="D12" s="15" t="s">
        <v>43</v>
      </c>
      <c r="E12" s="4">
        <v>8.0</v>
      </c>
      <c r="F12" s="4">
        <f t="shared" si="1"/>
        <v>40</v>
      </c>
      <c r="G12" s="1"/>
    </row>
    <row r="13">
      <c r="B13" s="1"/>
      <c r="C13" s="4">
        <v>5.0</v>
      </c>
      <c r="D13" s="15" t="s">
        <v>43</v>
      </c>
      <c r="E13" s="4">
        <v>9.0</v>
      </c>
      <c r="F13" s="4">
        <f t="shared" si="1"/>
        <v>45</v>
      </c>
      <c r="G13" s="1"/>
    </row>
    <row r="14">
      <c r="B14" s="1"/>
      <c r="C14" s="4">
        <v>5.0</v>
      </c>
      <c r="D14" s="15" t="s">
        <v>43</v>
      </c>
      <c r="E14" s="4">
        <v>10.0</v>
      </c>
      <c r="F14" s="4">
        <f t="shared" si="1"/>
        <v>50</v>
      </c>
      <c r="G14" s="1"/>
    </row>
    <row r="15">
      <c r="B15" s="1"/>
      <c r="C15" s="5"/>
      <c r="D15" s="5"/>
      <c r="E15" s="5"/>
      <c r="F15" s="5"/>
      <c r="G15" s="1"/>
    </row>
    <row r="16">
      <c r="B16" s="1"/>
      <c r="C16" s="1"/>
      <c r="D16" s="1"/>
      <c r="E16" s="1"/>
      <c r="F16" s="1"/>
      <c r="G16" s="1"/>
    </row>
    <row r="17">
      <c r="B17" s="1"/>
      <c r="C17" s="1"/>
      <c r="D17" s="1"/>
      <c r="E17" s="1"/>
      <c r="F17" s="1"/>
      <c r="G17" s="1"/>
    </row>
    <row r="18">
      <c r="B18" s="1"/>
      <c r="C18" s="1"/>
      <c r="D18" s="1"/>
      <c r="E18" s="1"/>
      <c r="F18" s="1"/>
      <c r="G18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4.0"/>
    <col customWidth="1" min="8" max="8" width="14.5"/>
  </cols>
  <sheetData>
    <row r="3" ht="19.5" customHeight="1">
      <c r="C3" s="1"/>
      <c r="D3" s="16" t="s">
        <v>44</v>
      </c>
      <c r="E3" s="17" t="s">
        <v>45</v>
      </c>
      <c r="F3" s="18"/>
      <c r="G3" s="19"/>
      <c r="H3" s="2" t="s">
        <v>46</v>
      </c>
    </row>
    <row r="4" ht="20.25" customHeight="1">
      <c r="C4" s="1"/>
      <c r="D4" s="2" t="s">
        <v>47</v>
      </c>
      <c r="E4" s="20">
        <v>5.75</v>
      </c>
      <c r="F4" s="20">
        <v>7.0</v>
      </c>
      <c r="G4" s="20">
        <v>8.5</v>
      </c>
      <c r="H4" s="20">
        <f t="shared" ref="H4:H8" si="1">AVERAGE(E4:G4)</f>
        <v>7.083333333</v>
      </c>
    </row>
    <row r="5" ht="21.75" customHeight="1">
      <c r="C5" s="1"/>
      <c r="D5" s="2" t="s">
        <v>48</v>
      </c>
      <c r="E5" s="20">
        <v>6.0</v>
      </c>
      <c r="F5" s="21">
        <v>5.0</v>
      </c>
      <c r="G5" s="21">
        <v>5.0</v>
      </c>
      <c r="H5" s="20">
        <f t="shared" si="1"/>
        <v>5.333333333</v>
      </c>
    </row>
    <row r="6" ht="21.0" customHeight="1">
      <c r="C6" s="1"/>
      <c r="D6" s="2" t="s">
        <v>49</v>
      </c>
      <c r="E6" s="20">
        <v>7.0</v>
      </c>
      <c r="F6" s="22">
        <v>4.6</v>
      </c>
      <c r="G6" s="22">
        <v>2.25</v>
      </c>
      <c r="H6" s="22">
        <f t="shared" si="1"/>
        <v>4.616666667</v>
      </c>
    </row>
    <row r="7" ht="21.0" customHeight="1">
      <c r="C7" s="1"/>
      <c r="D7" s="2" t="s">
        <v>50</v>
      </c>
      <c r="E7" s="22">
        <v>4.5</v>
      </c>
      <c r="F7" s="22">
        <v>4.0</v>
      </c>
      <c r="G7" s="20">
        <v>7.0</v>
      </c>
      <c r="H7" s="20">
        <f t="shared" si="1"/>
        <v>5.166666667</v>
      </c>
    </row>
    <row r="8" ht="23.25" customHeight="1">
      <c r="C8" s="1"/>
      <c r="D8" s="2" t="s">
        <v>51</v>
      </c>
      <c r="E8" s="20">
        <v>5.5</v>
      </c>
      <c r="F8" s="20">
        <v>5.5</v>
      </c>
      <c r="G8" s="22">
        <v>3.1</v>
      </c>
      <c r="H8" s="22">
        <f t="shared" si="1"/>
        <v>4.7</v>
      </c>
    </row>
    <row r="9">
      <c r="C9" s="1"/>
      <c r="D9" s="1"/>
      <c r="E9" s="1"/>
      <c r="F9" s="1"/>
      <c r="G9" s="1"/>
      <c r="H9" s="1"/>
    </row>
    <row r="10">
      <c r="C10" s="1"/>
      <c r="D10" s="1"/>
      <c r="E10" s="1"/>
      <c r="F10" s="1"/>
      <c r="G10" s="1"/>
      <c r="H10" s="1"/>
    </row>
    <row r="11">
      <c r="C11" s="1"/>
      <c r="D11" s="1"/>
      <c r="E11" s="1"/>
      <c r="F11" s="1"/>
      <c r="G11" s="1"/>
      <c r="H11" s="1"/>
    </row>
    <row r="12">
      <c r="C12" s="1"/>
      <c r="D12" s="1"/>
      <c r="E12" s="1"/>
      <c r="F12" s="1"/>
      <c r="G12" s="1"/>
      <c r="H12" s="1"/>
    </row>
  </sheetData>
  <mergeCells count="1">
    <mergeCell ref="E3:G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7" width="13.5"/>
  </cols>
  <sheetData>
    <row r="1" ht="22.5" customHeight="1">
      <c r="B1" s="23" t="s">
        <v>15</v>
      </c>
      <c r="C1" s="23" t="s">
        <v>16</v>
      </c>
      <c r="D1" s="23" t="s">
        <v>17</v>
      </c>
      <c r="E1" s="23" t="s">
        <v>18</v>
      </c>
      <c r="F1" s="23" t="s">
        <v>19</v>
      </c>
      <c r="G1" s="23" t="s">
        <v>52</v>
      </c>
    </row>
    <row r="2" ht="22.5" customHeight="1">
      <c r="C2" s="24" t="s">
        <v>53</v>
      </c>
      <c r="D2" s="24" t="s">
        <v>54</v>
      </c>
      <c r="E2" s="24" t="s">
        <v>55</v>
      </c>
      <c r="G2" s="24" t="s">
        <v>56</v>
      </c>
    </row>
    <row r="3" ht="22.5" customHeight="1">
      <c r="B3" s="24" t="s">
        <v>57</v>
      </c>
      <c r="C3" s="24">
        <v>30.0</v>
      </c>
      <c r="D3" s="24">
        <v>30.0</v>
      </c>
      <c r="E3" s="24">
        <v>30.0</v>
      </c>
      <c r="G3" s="25">
        <f t="shared" ref="G3:G7" si="1">SUM(C3:E3)</f>
        <v>90</v>
      </c>
    </row>
    <row r="4" ht="22.5" customHeight="1">
      <c r="B4" s="24" t="s">
        <v>58</v>
      </c>
      <c r="C4" s="24">
        <v>50.0</v>
      </c>
      <c r="D4" s="24">
        <v>60.0</v>
      </c>
      <c r="E4" s="24">
        <v>55.0</v>
      </c>
      <c r="G4" s="25">
        <f t="shared" si="1"/>
        <v>165</v>
      </c>
    </row>
    <row r="5" ht="22.5" customHeight="1">
      <c r="B5" s="24" t="s">
        <v>59</v>
      </c>
      <c r="C5" s="24">
        <v>40.0</v>
      </c>
      <c r="D5" s="24">
        <v>30.0</v>
      </c>
      <c r="E5" s="24">
        <v>45.0</v>
      </c>
      <c r="G5" s="25">
        <f t="shared" si="1"/>
        <v>115</v>
      </c>
    </row>
    <row r="6" ht="22.5" customHeight="1">
      <c r="B6" s="24" t="s">
        <v>60</v>
      </c>
      <c r="C6" s="24">
        <v>80.0</v>
      </c>
      <c r="D6" s="24">
        <v>75.0</v>
      </c>
      <c r="E6" s="24">
        <v>70.0</v>
      </c>
      <c r="G6" s="25">
        <f t="shared" si="1"/>
        <v>225</v>
      </c>
    </row>
    <row r="7" ht="22.5" customHeight="1">
      <c r="B7" s="24" t="s">
        <v>61</v>
      </c>
      <c r="C7" s="24">
        <v>90.0</v>
      </c>
      <c r="D7" s="24">
        <v>85.0</v>
      </c>
      <c r="E7" s="24">
        <v>120.0</v>
      </c>
      <c r="G7" s="25">
        <f t="shared" si="1"/>
        <v>295</v>
      </c>
    </row>
    <row r="8" ht="22.5" customHeight="1"/>
    <row r="9" ht="22.5" customHeight="1">
      <c r="B9" s="24" t="s">
        <v>62</v>
      </c>
      <c r="C9" s="25">
        <f t="shared" ref="C9:E9" si="2">SUM(C3:C7)</f>
        <v>290</v>
      </c>
      <c r="D9" s="25">
        <f t="shared" si="2"/>
        <v>280</v>
      </c>
      <c r="E9" s="25">
        <f t="shared" si="2"/>
        <v>320</v>
      </c>
      <c r="G9" s="25">
        <f>SUM(G3:G7)</f>
        <v>890</v>
      </c>
    </row>
  </sheetData>
  <drawing r:id="rId1"/>
  <tableParts count="1">
    <tablePart r:id="rId3"/>
  </tableParts>
</worksheet>
</file>
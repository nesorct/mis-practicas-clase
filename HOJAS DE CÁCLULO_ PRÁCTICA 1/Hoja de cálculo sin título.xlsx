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4" sheetId="2" r:id="rId6"/>
    <sheet state="visible" name="Hoja 3" sheetId="3" r:id="rId7"/>
    <sheet state="visible" name="Hoja 5" sheetId="4" r:id="rId8"/>
    <sheet state="visible" name="Hoja 6" sheetId="5" r:id="rId9"/>
  </sheets>
  <definedNames/>
  <calcPr/>
</workbook>
</file>

<file path=xl/sharedStrings.xml><?xml version="1.0" encoding="utf-8"?>
<sst xmlns="http://schemas.openxmlformats.org/spreadsheetml/2006/main" count="70" uniqueCount="61">
  <si>
    <t xml:space="preserve">NOMBRE </t>
  </si>
  <si>
    <t>NOTA 1</t>
  </si>
  <si>
    <t xml:space="preserve">NOTA 2 </t>
  </si>
  <si>
    <t xml:space="preserve">NOTA 3 </t>
  </si>
  <si>
    <t>NOTA MEDIA</t>
  </si>
  <si>
    <t>Ruben</t>
  </si>
  <si>
    <t>Estela</t>
  </si>
  <si>
    <t>Pablo</t>
  </si>
  <si>
    <t>Izan</t>
  </si>
  <si>
    <t>Hugo</t>
  </si>
  <si>
    <t xml:space="preserve">Juan Mariano </t>
  </si>
  <si>
    <t>Localidad</t>
  </si>
  <si>
    <t xml:space="preserve">N de plazas </t>
  </si>
  <si>
    <t xml:space="preserve">Promedio de ocupacion </t>
  </si>
  <si>
    <t>Porcentaje de ocupacion</t>
  </si>
  <si>
    <t xml:space="preserve">Diferencia </t>
  </si>
  <si>
    <t>¿Rentable?</t>
  </si>
  <si>
    <t>Madrid</t>
  </si>
  <si>
    <t>Barcelona</t>
  </si>
  <si>
    <t>Valencia</t>
  </si>
  <si>
    <t xml:space="preserve">Zaragoza </t>
  </si>
  <si>
    <t>Sevilla</t>
  </si>
  <si>
    <t>Bilbao</t>
  </si>
  <si>
    <t xml:space="preserve">N campos rentables </t>
  </si>
  <si>
    <t>N campos no rentables</t>
  </si>
  <si>
    <t>Es rentable en conjunto</t>
  </si>
  <si>
    <t>KWH</t>
  </si>
  <si>
    <t>Aparato</t>
  </si>
  <si>
    <t>potencia watios</t>
  </si>
  <si>
    <t xml:space="preserve">hora de funcionamiento </t>
  </si>
  <si>
    <t>potencia kw</t>
  </si>
  <si>
    <t xml:space="preserve">horas mensuales </t>
  </si>
  <si>
    <t>energia kwh</t>
  </si>
  <si>
    <t>coste</t>
  </si>
  <si>
    <t>lavadora</t>
  </si>
  <si>
    <t>televisor</t>
  </si>
  <si>
    <t xml:space="preserve">frigorifico </t>
  </si>
  <si>
    <t>lavavajillas</t>
  </si>
  <si>
    <t xml:space="preserve">iluminacion </t>
  </si>
  <si>
    <t xml:space="preserve">plancha </t>
  </si>
  <si>
    <t xml:space="preserve">ordenador </t>
  </si>
  <si>
    <t>TOTAL</t>
  </si>
  <si>
    <t xml:space="preserve">IVA  </t>
  </si>
  <si>
    <t xml:space="preserve">total iva </t>
  </si>
  <si>
    <t>Enero</t>
  </si>
  <si>
    <t>Febrero</t>
  </si>
  <si>
    <t>marzo</t>
  </si>
  <si>
    <t>Total trimestre</t>
  </si>
  <si>
    <t>GImnasio</t>
  </si>
  <si>
    <t>comida</t>
  </si>
  <si>
    <t>ocio</t>
  </si>
  <si>
    <t>Agua</t>
  </si>
  <si>
    <t>Electricidad</t>
  </si>
  <si>
    <t>Hipoteca</t>
  </si>
  <si>
    <t>total</t>
  </si>
  <si>
    <t>total trimestre</t>
  </si>
  <si>
    <t>numero</t>
  </si>
  <si>
    <t>tabla</t>
  </si>
  <si>
    <t>operacion</t>
  </si>
  <si>
    <t>resultado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</si>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</sst>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0" fillId="4" fontId="2" numFmtId="0" xfId="0" applyAlignment="1" applyFill="1" applyFont="1">
      <alignment vertical="bottom"/>
    </xf>
    <xf borderId="1" fillId="5" fontId="2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6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vertical="bottom"/>
    </xf>
    <xf borderId="0" fillId="6" fontId="2" numFmtId="0" xfId="0" applyAlignment="1" applyFont="1">
      <alignment vertical="bottom"/>
    </xf>
    <xf borderId="1" fillId="8" fontId="2" numFmtId="0" xfId="0" applyAlignment="1" applyBorder="1" applyFill="1" applyFont="1">
      <alignment horizontal="right" vertical="bottom"/>
    </xf>
    <xf borderId="0" fillId="9" fontId="2" numFmtId="0" xfId="0" applyAlignment="1" applyFill="1" applyFont="1">
      <alignment vertical="bottom"/>
    </xf>
    <xf borderId="1" fillId="9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F10" displayName="NOTA_DE_COMPAÑEROS_" name="NOTA_DE_COMPAÑEROS_" id="1">
  <tableColumns count="5">
    <tableColumn name="NOMBRE " id="1"/>
    <tableColumn name="NOTA 1" id="2"/>
    <tableColumn name="NOTA 2 " id="3"/>
    <tableColumn name="NOTA 3 " id="4"/>
    <tableColumn name="NOTA MEDIA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6" max="6" width="15.25"/>
  </cols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2" t="s">
        <v>5</v>
      </c>
      <c r="C5" s="2">
        <v>1.5</v>
      </c>
      <c r="D5" s="2">
        <v>3.5</v>
      </c>
      <c r="E5" s="2">
        <v>3.8</v>
      </c>
      <c r="F5" s="3">
        <f t="shared" ref="F5:F10" si="1">AVERAGE(C5:E5)</f>
        <v>2.933333333</v>
      </c>
    </row>
    <row r="6" ht="22.5" customHeight="1">
      <c r="B6" s="2" t="s">
        <v>6</v>
      </c>
      <c r="C6" s="2">
        <v>7.5</v>
      </c>
      <c r="D6" s="2">
        <v>5.7</v>
      </c>
      <c r="E6" s="2">
        <v>8.3</v>
      </c>
      <c r="F6" s="3">
        <f t="shared" si="1"/>
        <v>7.166666667</v>
      </c>
    </row>
    <row r="7" ht="22.5" customHeight="1">
      <c r="B7" s="2" t="s">
        <v>7</v>
      </c>
      <c r="C7" s="2">
        <v>3.37</v>
      </c>
      <c r="D7" s="2">
        <v>9.0</v>
      </c>
      <c r="E7" s="2">
        <v>8.5</v>
      </c>
      <c r="F7" s="3">
        <f t="shared" si="1"/>
        <v>6.956666667</v>
      </c>
    </row>
    <row r="8" ht="22.5" customHeight="1">
      <c r="B8" s="2" t="s">
        <v>8</v>
      </c>
      <c r="C8" s="2">
        <v>6.0</v>
      </c>
      <c r="D8" s="2">
        <v>7.0</v>
      </c>
      <c r="E8" s="2">
        <v>8.25</v>
      </c>
      <c r="F8" s="3">
        <f t="shared" si="1"/>
        <v>7.083333333</v>
      </c>
    </row>
    <row r="9" ht="22.5" customHeight="1">
      <c r="B9" s="2" t="s">
        <v>9</v>
      </c>
      <c r="C9" s="2">
        <v>5.88</v>
      </c>
      <c r="D9" s="2">
        <v>7.85</v>
      </c>
      <c r="E9" s="2">
        <v>6.83</v>
      </c>
      <c r="F9" s="3">
        <f t="shared" si="1"/>
        <v>6.853333333</v>
      </c>
    </row>
    <row r="10" ht="22.5" customHeight="1">
      <c r="B10" s="2" t="s">
        <v>10</v>
      </c>
      <c r="C10" s="2">
        <v>5.88</v>
      </c>
      <c r="D10" s="2">
        <v>7.85</v>
      </c>
      <c r="E10" s="2">
        <v>6.83</v>
      </c>
      <c r="F10" s="3">
        <f t="shared" si="1"/>
        <v>6.853333333</v>
      </c>
    </row>
    <row r="11">
      <c r="B11" s="4"/>
      <c r="C11" s="4"/>
      <c r="D11" s="4"/>
      <c r="E11" s="4"/>
      <c r="F11" s="4"/>
    </row>
    <row r="16">
      <c r="C16" s="5"/>
      <c r="D16" s="5"/>
      <c r="E16" s="5"/>
      <c r="F16" s="5"/>
      <c r="G16" s="5"/>
      <c r="H16" s="5"/>
      <c r="I16" s="6"/>
    </row>
    <row r="17">
      <c r="C17" s="7"/>
      <c r="D17" s="7"/>
      <c r="E17" s="7"/>
      <c r="F17" s="7"/>
      <c r="G17" s="7"/>
      <c r="H17" s="7"/>
      <c r="I17" s="7"/>
    </row>
    <row r="18">
      <c r="C18" s="7"/>
      <c r="D18" s="8"/>
      <c r="E18" s="8"/>
      <c r="F18" s="8"/>
      <c r="G18" s="8"/>
      <c r="H18" s="8"/>
      <c r="I18" s="8"/>
    </row>
    <row r="19">
      <c r="C19" s="7"/>
      <c r="D19" s="8"/>
      <c r="E19" s="8"/>
      <c r="F19" s="8"/>
      <c r="G19" s="8"/>
      <c r="H19" s="8"/>
      <c r="I19" s="8"/>
    </row>
    <row r="20">
      <c r="C20" s="7"/>
      <c r="D20" s="8"/>
      <c r="E20" s="8"/>
      <c r="F20" s="8"/>
      <c r="G20" s="8"/>
      <c r="H20" s="8"/>
      <c r="I20" s="8"/>
    </row>
    <row r="21">
      <c r="C21" s="7"/>
      <c r="D21" s="8"/>
      <c r="E21" s="8"/>
      <c r="F21" s="8"/>
      <c r="G21" s="8"/>
      <c r="H21" s="8"/>
      <c r="I21" s="8"/>
    </row>
    <row r="22">
      <c r="C22" s="7"/>
      <c r="D22" s="8"/>
      <c r="E22" s="8"/>
      <c r="F22" s="8"/>
      <c r="G22" s="8"/>
      <c r="H22" s="8"/>
      <c r="I22" s="8"/>
    </row>
    <row r="23">
      <c r="C23" s="7"/>
      <c r="D23" s="8"/>
      <c r="E23" s="8"/>
      <c r="F23" s="8"/>
      <c r="G23" s="8"/>
      <c r="H23" s="8"/>
      <c r="I23" s="8"/>
    </row>
    <row r="24">
      <c r="C24" s="7"/>
      <c r="D24" s="8"/>
      <c r="E24" s="8"/>
      <c r="F24" s="8"/>
      <c r="G24" s="8"/>
      <c r="H24" s="8"/>
      <c r="I24" s="8"/>
    </row>
    <row r="25">
      <c r="C25" s="5"/>
      <c r="D25" s="5"/>
      <c r="E25" s="5"/>
      <c r="F25" s="5"/>
      <c r="G25" s="5"/>
      <c r="H25" s="5"/>
      <c r="I25" s="5"/>
    </row>
    <row r="26">
      <c r="C26" s="5"/>
      <c r="D26" s="5"/>
      <c r="E26" s="5"/>
      <c r="F26" s="5"/>
      <c r="G26" s="5"/>
      <c r="H26" s="5"/>
      <c r="I26" s="5"/>
    </row>
    <row r="27">
      <c r="C27" s="5"/>
      <c r="D27" s="5"/>
      <c r="E27" s="5"/>
      <c r="F27" s="5"/>
      <c r="G27" s="5"/>
      <c r="H27" s="5"/>
      <c r="I27" s="5"/>
    </row>
    <row r="28">
      <c r="C28" s="5"/>
      <c r="D28" s="5"/>
      <c r="E28" s="5"/>
      <c r="F28" s="5"/>
      <c r="G28" s="5"/>
      <c r="H28" s="7"/>
      <c r="I28" s="5"/>
    </row>
    <row r="29">
      <c r="C29" s="5"/>
      <c r="D29" s="5"/>
      <c r="E29" s="5"/>
      <c r="F29" s="5"/>
      <c r="G29" s="5"/>
      <c r="H29" s="5"/>
      <c r="I29" s="5"/>
    </row>
    <row r="30">
      <c r="C30" s="5"/>
      <c r="D30" s="5"/>
      <c r="E30" s="5"/>
      <c r="F30" s="5"/>
      <c r="G30" s="5"/>
      <c r="H30" s="7"/>
      <c r="I30" s="5"/>
    </row>
    <row r="31">
      <c r="C31" s="5"/>
      <c r="D31" s="5"/>
      <c r="E31" s="5"/>
      <c r="F31" s="5"/>
      <c r="G31" s="5"/>
      <c r="H31" s="5"/>
      <c r="I31" s="5"/>
    </row>
    <row r="32">
      <c r="C32" s="5"/>
      <c r="D32" s="5"/>
      <c r="E32" s="5"/>
      <c r="F32" s="5"/>
      <c r="G32" s="5"/>
      <c r="H32" s="7"/>
      <c r="I32" s="7"/>
    </row>
  </sheetData>
  <conditionalFormatting sqref="C5:F10">
    <cfRule type="cellIs" dxfId="5" priority="1" operator="greaterThanOrEqual">
      <formula>5</formula>
    </cfRule>
  </conditionalFormatting>
  <conditionalFormatting sqref="C5:F10">
    <cfRule type="cellIs" dxfId="5" priority="2" operator="greaterThanOrEqual">
      <formula>5</formula>
    </cfRule>
  </conditionalFormatting>
  <conditionalFormatting sqref="C5:F10">
    <cfRule type="cellIs" dxfId="6" priority="3" operator="lessThan">
      <formula>5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5"/>
      <c r="H1" s="5"/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5"/>
    </row>
    <row r="5">
      <c r="A5" s="5"/>
      <c r="B5" s="10" t="s">
        <v>17</v>
      </c>
      <c r="C5" s="8">
        <v>65000.0</v>
      </c>
      <c r="D5" s="8">
        <v>40000.0</v>
      </c>
      <c r="E5" s="8">
        <f t="shared" ref="E5:E10" si="1">D5*100/C5</f>
        <v>61.53846154</v>
      </c>
      <c r="F5" s="8">
        <f t="shared" ref="F5:F10" si="2">C5-D5</f>
        <v>25000</v>
      </c>
      <c r="G5" s="7" t="str">
        <f t="shared" ref="G5:G10" si="3">IF(E5&gt;=60,"si","no")</f>
        <v>si</v>
      </c>
      <c r="H5" s="5"/>
    </row>
    <row r="6">
      <c r="A6" s="5"/>
      <c r="B6" s="10" t="s">
        <v>18</v>
      </c>
      <c r="C6" s="8">
        <v>57000.0</v>
      </c>
      <c r="D6" s="8">
        <v>25000.0</v>
      </c>
      <c r="E6" s="8">
        <f t="shared" si="1"/>
        <v>43.85964912</v>
      </c>
      <c r="F6" s="8">
        <f t="shared" si="2"/>
        <v>32000</v>
      </c>
      <c r="G6" s="7" t="str">
        <f t="shared" si="3"/>
        <v>no</v>
      </c>
      <c r="H6" s="5"/>
    </row>
    <row r="7">
      <c r="A7" s="5"/>
      <c r="B7" s="10" t="s">
        <v>19</v>
      </c>
      <c r="C7" s="8">
        <v>45000.0</v>
      </c>
      <c r="D7" s="8">
        <v>34000.0</v>
      </c>
      <c r="E7" s="8">
        <f t="shared" si="1"/>
        <v>75.55555556</v>
      </c>
      <c r="F7" s="8">
        <f t="shared" si="2"/>
        <v>11000</v>
      </c>
      <c r="G7" s="7" t="str">
        <f t="shared" si="3"/>
        <v>si</v>
      </c>
      <c r="H7" s="5"/>
    </row>
    <row r="8">
      <c r="A8" s="5"/>
      <c r="B8" s="10" t="s">
        <v>20</v>
      </c>
      <c r="C8" s="8">
        <v>30000.0</v>
      </c>
      <c r="D8" s="8">
        <v>10000.0</v>
      </c>
      <c r="E8" s="8">
        <f t="shared" si="1"/>
        <v>33.33333333</v>
      </c>
      <c r="F8" s="8">
        <f t="shared" si="2"/>
        <v>20000</v>
      </c>
      <c r="G8" s="7" t="str">
        <f t="shared" si="3"/>
        <v>no</v>
      </c>
      <c r="H8" s="5"/>
    </row>
    <row r="9">
      <c r="A9" s="5"/>
      <c r="B9" s="10" t="s">
        <v>21</v>
      </c>
      <c r="C9" s="8">
        <v>25000.0</v>
      </c>
      <c r="D9" s="8">
        <v>12000.0</v>
      </c>
      <c r="E9" s="8">
        <f t="shared" si="1"/>
        <v>48</v>
      </c>
      <c r="F9" s="8">
        <f t="shared" si="2"/>
        <v>13000</v>
      </c>
      <c r="G9" s="7" t="str">
        <f t="shared" si="3"/>
        <v>no</v>
      </c>
      <c r="H9" s="5"/>
    </row>
    <row r="10">
      <c r="A10" s="5"/>
      <c r="B10" s="10" t="s">
        <v>22</v>
      </c>
      <c r="C10" s="8">
        <v>20000.0</v>
      </c>
      <c r="D10" s="8">
        <v>12000.0</v>
      </c>
      <c r="E10" s="8">
        <f t="shared" si="1"/>
        <v>60</v>
      </c>
      <c r="F10" s="8">
        <f t="shared" si="2"/>
        <v>8000</v>
      </c>
      <c r="G10" s="7" t="str">
        <f t="shared" si="3"/>
        <v>si</v>
      </c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11" t="s">
        <v>23</v>
      </c>
      <c r="G12" s="8">
        <f>COUNTIF(G5:G10,"si")</f>
        <v>3</v>
      </c>
      <c r="H12" s="5"/>
    </row>
    <row r="13">
      <c r="A13" s="5"/>
      <c r="B13" s="5"/>
      <c r="C13" s="5"/>
      <c r="D13" s="5"/>
      <c r="E13" s="5"/>
      <c r="F13" s="11" t="s">
        <v>24</v>
      </c>
      <c r="G13" s="8">
        <f>COUNTIF(G5:G10,"no")</f>
        <v>3</v>
      </c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11" t="s">
        <v>25</v>
      </c>
      <c r="G15" s="7" t="str">
        <f>IF(G12&gt;=3,"si","no")</f>
        <v>si</v>
      </c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5"/>
      <c r="H1" s="5"/>
      <c r="I1" s="5"/>
      <c r="J1" s="5"/>
    </row>
    <row r="2">
      <c r="A2" s="5"/>
      <c r="B2" s="5"/>
      <c r="C2" s="5"/>
      <c r="D2" s="5"/>
      <c r="E2" s="5"/>
      <c r="F2" s="5"/>
      <c r="G2" s="5" t="s">
        <v>26</v>
      </c>
      <c r="H2" s="6">
        <v>0.055</v>
      </c>
      <c r="I2" s="5"/>
      <c r="J2" s="5"/>
    </row>
    <row r="3">
      <c r="A3" s="5"/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5"/>
      <c r="J3" s="5"/>
    </row>
    <row r="4">
      <c r="A4" s="5"/>
      <c r="B4" s="7" t="s">
        <v>34</v>
      </c>
      <c r="C4" s="8">
        <v>2000.0</v>
      </c>
      <c r="D4" s="8">
        <v>2.0</v>
      </c>
      <c r="E4" s="8">
        <f t="shared" ref="E4:E10" si="1">C4/1000</f>
        <v>2</v>
      </c>
      <c r="F4" s="8">
        <f t="shared" ref="F4:F10" si="2">D4*30</f>
        <v>60</v>
      </c>
      <c r="G4" s="8">
        <f t="shared" ref="G4:G10" si="3">E4*F4</f>
        <v>120</v>
      </c>
      <c r="H4" s="8">
        <f>G4*H2</f>
        <v>6.6</v>
      </c>
      <c r="I4" s="5"/>
      <c r="J4" s="5"/>
    </row>
    <row r="5">
      <c r="A5" s="5"/>
      <c r="B5" s="7" t="s">
        <v>35</v>
      </c>
      <c r="C5" s="8">
        <v>150.0</v>
      </c>
      <c r="D5" s="8">
        <v>3.0</v>
      </c>
      <c r="E5" s="8">
        <f t="shared" si="1"/>
        <v>0.15</v>
      </c>
      <c r="F5" s="8">
        <f t="shared" si="2"/>
        <v>90</v>
      </c>
      <c r="G5" s="8">
        <f t="shared" si="3"/>
        <v>13.5</v>
      </c>
      <c r="H5" s="8">
        <f>G5*H2</f>
        <v>0.7425</v>
      </c>
      <c r="I5" s="5"/>
      <c r="J5" s="5"/>
    </row>
    <row r="6">
      <c r="A6" s="5"/>
      <c r="B6" s="7" t="s">
        <v>36</v>
      </c>
      <c r="C6" s="8">
        <v>300.0</v>
      </c>
      <c r="D6" s="8">
        <v>24.0</v>
      </c>
      <c r="E6" s="8">
        <f t="shared" si="1"/>
        <v>0.3</v>
      </c>
      <c r="F6" s="8">
        <f t="shared" si="2"/>
        <v>720</v>
      </c>
      <c r="G6" s="8">
        <f t="shared" si="3"/>
        <v>216</v>
      </c>
      <c r="H6" s="8">
        <f>G6*H2</f>
        <v>11.88</v>
      </c>
      <c r="I6" s="5"/>
      <c r="J6" s="5"/>
    </row>
    <row r="7">
      <c r="A7" s="5"/>
      <c r="B7" s="7" t="s">
        <v>37</v>
      </c>
      <c r="C7" s="8">
        <v>1800.0</v>
      </c>
      <c r="D7" s="8">
        <v>3.0</v>
      </c>
      <c r="E7" s="8">
        <f t="shared" si="1"/>
        <v>1.8</v>
      </c>
      <c r="F7" s="8">
        <f t="shared" si="2"/>
        <v>90</v>
      </c>
      <c r="G7" s="8">
        <f t="shared" si="3"/>
        <v>162</v>
      </c>
      <c r="H7" s="8">
        <f>G7*H2</f>
        <v>8.91</v>
      </c>
      <c r="I7" s="5"/>
      <c r="J7" s="5"/>
    </row>
    <row r="8">
      <c r="A8" s="5"/>
      <c r="B8" s="7" t="s">
        <v>38</v>
      </c>
      <c r="C8" s="8">
        <v>500.0</v>
      </c>
      <c r="D8" s="8">
        <v>6.0</v>
      </c>
      <c r="E8" s="8">
        <f t="shared" si="1"/>
        <v>0.5</v>
      </c>
      <c r="F8" s="8">
        <f t="shared" si="2"/>
        <v>180</v>
      </c>
      <c r="G8" s="8">
        <f t="shared" si="3"/>
        <v>90</v>
      </c>
      <c r="H8" s="8">
        <f>G8*H2</f>
        <v>4.95</v>
      </c>
      <c r="I8" s="5"/>
      <c r="J8" s="5"/>
    </row>
    <row r="9">
      <c r="A9" s="5"/>
      <c r="B9" s="7" t="s">
        <v>39</v>
      </c>
      <c r="C9" s="8">
        <v>1100.0</v>
      </c>
      <c r="D9" s="8">
        <v>1.0</v>
      </c>
      <c r="E9" s="8">
        <f t="shared" si="1"/>
        <v>1.1</v>
      </c>
      <c r="F9" s="8">
        <f t="shared" si="2"/>
        <v>30</v>
      </c>
      <c r="G9" s="8">
        <f t="shared" si="3"/>
        <v>33</v>
      </c>
      <c r="H9" s="8">
        <f>G9*H2</f>
        <v>1.815</v>
      </c>
      <c r="I9" s="5"/>
      <c r="J9" s="5"/>
    </row>
    <row r="10">
      <c r="A10" s="5"/>
      <c r="B10" s="7" t="s">
        <v>40</v>
      </c>
      <c r="C10" s="8">
        <v>250.0</v>
      </c>
      <c r="D10" s="8">
        <v>7.0</v>
      </c>
      <c r="E10" s="8">
        <f t="shared" si="1"/>
        <v>0.25</v>
      </c>
      <c r="F10" s="8">
        <f t="shared" si="2"/>
        <v>210</v>
      </c>
      <c r="G10" s="8">
        <f t="shared" si="3"/>
        <v>52.5</v>
      </c>
      <c r="H10" s="8">
        <f>G10*H2</f>
        <v>2.8875</v>
      </c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13" t="s">
        <v>41</v>
      </c>
      <c r="H12" s="8">
        <f>SUM(H4:H10)</f>
        <v>37.785</v>
      </c>
      <c r="I12" s="5"/>
      <c r="J12" s="5"/>
    </row>
    <row r="13">
      <c r="A13" s="5"/>
      <c r="B13" s="5"/>
      <c r="C13" s="5"/>
      <c r="D13" s="5"/>
      <c r="E13" s="5"/>
      <c r="F13" s="5"/>
      <c r="G13" s="13" t="s">
        <v>42</v>
      </c>
      <c r="H13" s="8">
        <f>H12*16%</f>
        <v>6.0456</v>
      </c>
      <c r="I13" s="5"/>
      <c r="J13" s="5"/>
    </row>
    <row r="14">
      <c r="A14" s="5"/>
      <c r="B14" s="5"/>
      <c r="C14" s="5"/>
      <c r="D14" s="5"/>
      <c r="E14" s="5"/>
      <c r="F14" s="5"/>
      <c r="G14" s="13" t="s">
        <v>43</v>
      </c>
      <c r="H14" s="8">
        <f>SUM(H12:H13)</f>
        <v>43.8306</v>
      </c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5"/>
      <c r="H1" s="5"/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14" t="s">
        <v>44</v>
      </c>
      <c r="D6" s="14" t="s">
        <v>45</v>
      </c>
      <c r="E6" s="14" t="s">
        <v>46</v>
      </c>
      <c r="F6" s="15" t="s">
        <v>47</v>
      </c>
      <c r="G6" s="7"/>
      <c r="H6" s="5"/>
    </row>
    <row r="7">
      <c r="A7" s="5"/>
      <c r="B7" s="14" t="s">
        <v>48</v>
      </c>
      <c r="C7" s="8">
        <v>40.0</v>
      </c>
      <c r="D7" s="8">
        <v>40.0</v>
      </c>
      <c r="E7" s="8">
        <v>40.0</v>
      </c>
      <c r="F7" s="7" t="str">
        <f t="shared" ref="F7:F12" si="1">LOWER(B7)</f>
        <v>gimnasio</v>
      </c>
      <c r="G7" s="8">
        <f t="shared" ref="G7:G12" si="2">SUM(C7:E7)</f>
        <v>120</v>
      </c>
      <c r="H7" s="5"/>
    </row>
    <row r="8">
      <c r="A8" s="5"/>
      <c r="B8" s="14" t="s">
        <v>49</v>
      </c>
      <c r="C8" s="8">
        <v>120.0</v>
      </c>
      <c r="D8" s="8">
        <v>170.0</v>
      </c>
      <c r="E8" s="8">
        <v>130.0</v>
      </c>
      <c r="F8" s="7" t="str">
        <f t="shared" si="1"/>
        <v>comida</v>
      </c>
      <c r="G8" s="8">
        <f t="shared" si="2"/>
        <v>420</v>
      </c>
      <c r="H8" s="5"/>
    </row>
    <row r="9">
      <c r="A9" s="5"/>
      <c r="B9" s="14" t="s">
        <v>50</v>
      </c>
      <c r="C9" s="8">
        <v>40.0</v>
      </c>
      <c r="D9" s="8">
        <v>30.0</v>
      </c>
      <c r="E9" s="8">
        <v>45.0</v>
      </c>
      <c r="F9" s="7" t="str">
        <f t="shared" si="1"/>
        <v>ocio</v>
      </c>
      <c r="G9" s="8">
        <f t="shared" si="2"/>
        <v>115</v>
      </c>
      <c r="H9" s="5"/>
    </row>
    <row r="10">
      <c r="A10" s="5"/>
      <c r="B10" s="14" t="s">
        <v>51</v>
      </c>
      <c r="C10" s="8">
        <v>30.0</v>
      </c>
      <c r="D10" s="8">
        <v>20.0</v>
      </c>
      <c r="E10" s="8">
        <v>15.0</v>
      </c>
      <c r="F10" s="7" t="str">
        <f t="shared" si="1"/>
        <v>agua</v>
      </c>
      <c r="G10" s="8">
        <f t="shared" si="2"/>
        <v>65</v>
      </c>
      <c r="H10" s="5"/>
    </row>
    <row r="11">
      <c r="A11" s="5"/>
      <c r="B11" s="14" t="s">
        <v>52</v>
      </c>
      <c r="C11" s="8">
        <v>80.0</v>
      </c>
      <c r="D11" s="8">
        <v>70.0</v>
      </c>
      <c r="E11" s="8">
        <v>75.0</v>
      </c>
      <c r="F11" s="7" t="str">
        <f t="shared" si="1"/>
        <v>electricidad</v>
      </c>
      <c r="G11" s="8">
        <f t="shared" si="2"/>
        <v>225</v>
      </c>
      <c r="H11" s="5"/>
    </row>
    <row r="12">
      <c r="A12" s="5"/>
      <c r="B12" s="14" t="s">
        <v>53</v>
      </c>
      <c r="C12" s="8">
        <v>200.0</v>
      </c>
      <c r="D12" s="8">
        <v>250.0</v>
      </c>
      <c r="E12" s="8">
        <v>240.0</v>
      </c>
      <c r="F12" s="7" t="str">
        <f t="shared" si="1"/>
        <v>hipoteca</v>
      </c>
      <c r="G12" s="8">
        <f t="shared" si="2"/>
        <v>690</v>
      </c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11" t="s">
        <v>54</v>
      </c>
      <c r="C14" s="8">
        <f t="shared" ref="C14:E14" si="3">SUM(C7:C12)</f>
        <v>510</v>
      </c>
      <c r="D14" s="8">
        <f t="shared" si="3"/>
        <v>580</v>
      </c>
      <c r="E14" s="8">
        <f t="shared" si="3"/>
        <v>545</v>
      </c>
      <c r="F14" s="5"/>
      <c r="G14" s="5"/>
      <c r="H14" s="5"/>
    </row>
    <row r="15">
      <c r="A15" s="5"/>
      <c r="B15" s="16" t="s">
        <v>55</v>
      </c>
      <c r="C15" s="17">
        <f>SUM(C14:E14)</f>
        <v>1635</v>
      </c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</row>
    <row r="2">
      <c r="A2" s="5"/>
      <c r="B2" s="5"/>
      <c r="C2" s="5"/>
      <c r="D2" s="5"/>
      <c r="E2" s="5"/>
      <c r="F2" s="5"/>
    </row>
    <row r="3">
      <c r="A3" s="5"/>
      <c r="B3" s="5"/>
      <c r="C3" s="5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18"/>
      <c r="B5" s="19" t="s">
        <v>56</v>
      </c>
      <c r="C5" s="19" t="s">
        <v>57</v>
      </c>
      <c r="D5" s="19" t="s">
        <v>58</v>
      </c>
      <c r="E5" s="19" t="s">
        <v>59</v>
      </c>
      <c r="F5" s="18"/>
    </row>
    <row r="6">
      <c r="A6" s="5"/>
      <c r="B6" s="8">
        <v>5.0</v>
      </c>
      <c r="C6" s="20" t="s">
        <v>60</v>
      </c>
      <c r="D6" s="8">
        <v>1.0</v>
      </c>
      <c r="E6" s="8">
        <f t="shared" ref="E6:E15" si="1">B6*D6</f>
        <v>5</v>
      </c>
      <c r="F6" s="5"/>
    </row>
    <row r="7">
      <c r="A7" s="5"/>
      <c r="B7" s="8">
        <v>5.0</v>
      </c>
      <c r="C7" s="20" t="s">
        <v>60</v>
      </c>
      <c r="D7" s="8">
        <v>2.0</v>
      </c>
      <c r="E7" s="8">
        <f t="shared" si="1"/>
        <v>10</v>
      </c>
      <c r="F7" s="5"/>
    </row>
    <row r="8">
      <c r="A8" s="5"/>
      <c r="B8" s="8">
        <v>5.0</v>
      </c>
      <c r="C8" s="20" t="s">
        <v>60</v>
      </c>
      <c r="D8" s="8">
        <v>3.0</v>
      </c>
      <c r="E8" s="8">
        <f t="shared" si="1"/>
        <v>15</v>
      </c>
      <c r="F8" s="5"/>
    </row>
    <row r="9">
      <c r="A9" s="5"/>
      <c r="B9" s="8">
        <v>5.0</v>
      </c>
      <c r="C9" s="20" t="s">
        <v>60</v>
      </c>
      <c r="D9" s="8">
        <v>4.0</v>
      </c>
      <c r="E9" s="8">
        <f t="shared" si="1"/>
        <v>20</v>
      </c>
      <c r="F9" s="5"/>
    </row>
    <row r="10">
      <c r="A10" s="5"/>
      <c r="B10" s="8">
        <v>5.0</v>
      </c>
      <c r="C10" s="20" t="s">
        <v>60</v>
      </c>
      <c r="D10" s="8">
        <v>5.0</v>
      </c>
      <c r="E10" s="8">
        <f t="shared" si="1"/>
        <v>25</v>
      </c>
      <c r="F10" s="5"/>
    </row>
    <row r="11">
      <c r="A11" s="5"/>
      <c r="B11" s="8">
        <v>5.0</v>
      </c>
      <c r="C11" s="20" t="s">
        <v>60</v>
      </c>
      <c r="D11" s="8">
        <v>6.0</v>
      </c>
      <c r="E11" s="8">
        <f t="shared" si="1"/>
        <v>30</v>
      </c>
      <c r="F11" s="5"/>
    </row>
    <row r="12">
      <c r="A12" s="5"/>
      <c r="B12" s="8">
        <v>5.0</v>
      </c>
      <c r="C12" s="20" t="s">
        <v>60</v>
      </c>
      <c r="D12" s="8">
        <v>7.0</v>
      </c>
      <c r="E12" s="8">
        <f t="shared" si="1"/>
        <v>35</v>
      </c>
      <c r="F12" s="5"/>
    </row>
    <row r="13">
      <c r="A13" s="5"/>
      <c r="B13" s="8">
        <v>5.0</v>
      </c>
      <c r="C13" s="20" t="s">
        <v>60</v>
      </c>
      <c r="D13" s="8">
        <v>8.0</v>
      </c>
      <c r="E13" s="8">
        <f t="shared" si="1"/>
        <v>40</v>
      </c>
      <c r="F13" s="5"/>
    </row>
    <row r="14">
      <c r="A14" s="5"/>
      <c r="B14" s="8">
        <v>5.0</v>
      </c>
      <c r="C14" s="20" t="s">
        <v>60</v>
      </c>
      <c r="D14" s="8">
        <v>9.0</v>
      </c>
      <c r="E14" s="8">
        <f t="shared" si="1"/>
        <v>45</v>
      </c>
      <c r="F14" s="5"/>
    </row>
    <row r="15">
      <c r="A15" s="5"/>
      <c r="B15" s="8">
        <v>5.0</v>
      </c>
      <c r="C15" s="20" t="s">
        <v>60</v>
      </c>
      <c r="D15" s="8">
        <v>10.0</v>
      </c>
      <c r="E15" s="8">
        <f t="shared" si="1"/>
        <v>50</v>
      </c>
      <c r="F15" s="5"/>
    </row>
    <row r="16">
      <c r="A16" s="5"/>
      <c r="B16" s="7"/>
      <c r="C16" s="7"/>
      <c r="D16" s="7"/>
      <c r="E16" s="7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</sheetData>
  <drawing r:id="rId1"/>
</worksheet>
</file>
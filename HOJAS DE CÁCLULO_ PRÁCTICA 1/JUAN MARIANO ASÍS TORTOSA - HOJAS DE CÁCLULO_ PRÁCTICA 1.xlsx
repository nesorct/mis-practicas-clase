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1" sheetId="1" r:id="rId5"/>
    <sheet state="visible" name="ACT2" sheetId="2" r:id="rId6"/>
    <sheet state="visible" name="ACT3" sheetId="3" r:id="rId7"/>
    <sheet state="visible" name="ACT4" sheetId="4" r:id="rId8"/>
    <sheet state="visible" name="ACT5" sheetId="5" r:id="rId9"/>
  </sheets>
  <definedNames/>
  <calcPr/>
</workbook>
</file>

<file path=xl/sharedStrings.xml><?xml version="1.0" encoding="utf-8"?>
<sst xmlns="http://schemas.openxmlformats.org/spreadsheetml/2006/main" count="75" uniqueCount="65">
  <si>
    <t>NÚMERO</t>
  </si>
  <si>
    <t>OPERACIÓN</t>
  </si>
  <si>
    <t>TABLA</t>
  </si>
  <si>
    <t>RESULTADO</t>
  </si>
  <si>
    <t>X</t>
  </si>
  <si>
    <t>ENERO</t>
  </si>
  <si>
    <t>FEBRERO</t>
  </si>
  <si>
    <t>MARZO</t>
  </si>
  <si>
    <t>TOTAL TRIMESTRE</t>
  </si>
  <si>
    <t>GIMNASIO</t>
  </si>
  <si>
    <t>COMIDA</t>
  </si>
  <si>
    <t>OCIO</t>
  </si>
  <si>
    <t>AGUA</t>
  </si>
  <si>
    <t>ELECTRICIDAD</t>
  </si>
  <si>
    <t>TOTAL</t>
  </si>
  <si>
    <t xml:space="preserve">NOMBRE </t>
  </si>
  <si>
    <t>NOTA 1</t>
  </si>
  <si>
    <t>NOTA 2</t>
  </si>
  <si>
    <t>NOTA 3</t>
  </si>
  <si>
    <t xml:space="preserve">NOTA MEDIA </t>
  </si>
  <si>
    <t>SERGIO</t>
  </si>
  <si>
    <t xml:space="preserve">EMILIO </t>
  </si>
  <si>
    <t>LUIS</t>
  </si>
  <si>
    <t>PABLO</t>
  </si>
  <si>
    <t>YASSMIN</t>
  </si>
  <si>
    <t>AJAR</t>
  </si>
  <si>
    <t>CALCULO DE LA FACTURA DE LA COMPAÑIA ELECTRONICA</t>
  </si>
  <si>
    <t>KWh.</t>
  </si>
  <si>
    <t>APARTADO</t>
  </si>
  <si>
    <t>POTENCIA</t>
  </si>
  <si>
    <t>HORAS DE FUNCIONAMINENTO</t>
  </si>
  <si>
    <t>HORAS MENSUALES</t>
  </si>
  <si>
    <t>ENERGIA</t>
  </si>
  <si>
    <t xml:space="preserve">COSTE </t>
  </si>
  <si>
    <t>WATIOS</t>
  </si>
  <si>
    <t>KW</t>
  </si>
  <si>
    <t>KWh</t>
  </si>
  <si>
    <t>€</t>
  </si>
  <si>
    <t>LAVADORA</t>
  </si>
  <si>
    <t>TELEVISOR</t>
  </si>
  <si>
    <t>FRIGORÍFICO</t>
  </si>
  <si>
    <t>LAVAVAJILLAS</t>
  </si>
  <si>
    <t xml:space="preserve">ILUMINACION </t>
  </si>
  <si>
    <t>PLANCHA</t>
  </si>
  <si>
    <t>ORDENADOR</t>
  </si>
  <si>
    <t>TOTAL:</t>
  </si>
  <si>
    <t>IVA 16%:</t>
  </si>
  <si>
    <t>TOTAL CON IVA:</t>
  </si>
  <si>
    <r>
      <rPr>
        <rFont val="Arial"/>
        <color theme="1"/>
      </rPr>
      <t xml:space="preserve"> </t>
    </r>
    <r>
      <rPr>
        <rFont val="Arial"/>
        <b/>
        <i/>
        <color theme="1"/>
      </rPr>
      <t>COMPAÑÍA ESPAÑOLA  DE CAMPOS DE FÚTBOL</t>
    </r>
  </si>
  <si>
    <t>Estudio de rentabilidad año 2014</t>
  </si>
  <si>
    <t xml:space="preserve"> LOCALIDAD</t>
  </si>
  <si>
    <t xml:space="preserve">N DE PLAZAS </t>
  </si>
  <si>
    <t>PROMEDIO DE OCUPACIÓN</t>
  </si>
  <si>
    <t>PROCENTAJE DE OCUPACIÓN</t>
  </si>
  <si>
    <t xml:space="preserve">DIFERENCIA </t>
  </si>
  <si>
    <t>¿ES RENTABLE?   SI/NO</t>
  </si>
  <si>
    <t>MADRID</t>
  </si>
  <si>
    <t>BARCELONA</t>
  </si>
  <si>
    <t>VALENCIA</t>
  </si>
  <si>
    <t>ZARAGOZA</t>
  </si>
  <si>
    <t>SEVILLA</t>
  </si>
  <si>
    <t>BILBAO</t>
  </si>
  <si>
    <t xml:space="preserve">N CAMPOPS RENTABLES </t>
  </si>
  <si>
    <t xml:space="preserve">N CAMPOPS NO RENTABLES </t>
  </si>
  <si>
    <t>¿ES RENTABLE EN CONJUNTO?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</si>
</sst>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  <font>
      <b/>
      <color theme="1"/>
      <name val="Arial"/>
      <scheme val="minor"/>
    </font>
    <font/>
    <font>
      <b/>
      <sz val="12.0"/>
      <color rgb="FF0A0A0A"/>
      <name val="&quot;Google Sans&quot;"/>
    </font>
    <font>
      <sz val="10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1" numFmtId="0" xfId="0" applyAlignment="1" applyBorder="1" applyFill="1" applyFont="1">
      <alignment readingOrder="0"/>
    </xf>
    <xf borderId="1" fillId="4" fontId="1" numFmtId="0" xfId="0" applyBorder="1" applyFill="1" applyFont="1"/>
    <xf borderId="0" fillId="5" fontId="1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2" fillId="4" fontId="3" numFmtId="0" xfId="0" applyAlignment="1" applyBorder="1" applyFont="1">
      <alignment readingOrder="0"/>
    </xf>
    <xf borderId="3" fillId="4" fontId="3" numFmtId="0" xfId="0" applyBorder="1" applyFont="1"/>
    <xf borderId="2" fillId="4" fontId="3" numFmtId="0" xfId="0" applyBorder="1" applyFont="1"/>
    <xf borderId="4" fillId="4" fontId="3" numFmtId="0" xfId="0" applyBorder="1" applyFont="1"/>
    <xf borderId="5" fillId="0" fontId="3" numFmtId="0" xfId="0" applyBorder="1" applyFont="1"/>
    <xf borderId="0" fillId="0" fontId="3" numFmtId="0" xfId="0" applyFont="1"/>
    <xf borderId="6" fillId="0" fontId="3" numFmtId="0" xfId="0" applyAlignment="1" applyBorder="1" applyFont="1">
      <alignment readingOrder="0"/>
    </xf>
    <xf borderId="6" fillId="0" fontId="3" numFmtId="164" xfId="0" applyAlignment="1" applyBorder="1" applyFont="1" applyNumberFormat="1">
      <alignment readingOrder="0"/>
    </xf>
    <xf borderId="7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/>
    </xf>
    <xf borderId="7" fillId="4" fontId="3" numFmtId="0" xfId="0" applyAlignment="1" applyBorder="1" applyFont="1">
      <alignment readingOrder="0" vertical="center"/>
    </xf>
    <xf borderId="6" fillId="0" fontId="4" numFmtId="0" xfId="0" applyBorder="1" applyFont="1"/>
    <xf borderId="1" fillId="4" fontId="3" numFmtId="0" xfId="0" applyAlignment="1" applyBorder="1" applyFont="1">
      <alignment horizontal="center" readingOrder="0" vertical="top"/>
    </xf>
    <xf borderId="1" fillId="4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6" fontId="1" numFmtId="0" xfId="0" applyBorder="1" applyFill="1" applyFont="1"/>
    <xf borderId="1" fillId="6" fontId="1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6" fontId="1" numFmtId="164" xfId="0" applyBorder="1" applyFont="1" applyNumberFormat="1"/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1" fillId="9" fontId="1" numFmtId="0" xfId="0" applyAlignment="1" applyBorder="1" applyFill="1" applyFont="1">
      <alignment readingOrder="0"/>
    </xf>
    <xf borderId="1" fillId="9" fontId="6" numFmtId="0" xfId="0" applyAlignment="1" applyBorder="1" applyFont="1">
      <alignment horizontal="center" readingOrder="0"/>
    </xf>
    <xf borderId="1" fillId="9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readingOrder="0"/>
    </xf>
    <xf borderId="1" fillId="10" fontId="1" numFmtId="0" xfId="0" applyAlignment="1" applyBorder="1" applyFill="1" applyFont="1">
      <alignment readingOrder="0"/>
    </xf>
    <xf borderId="1" fillId="10" fontId="1" numFmtId="0" xfId="0" applyBorder="1" applyFont="1"/>
    <xf borderId="0" fillId="0" fontId="1" numFmtId="0" xfId="0" applyAlignment="1" applyFont="1">
      <alignment readingOrder="0"/>
    </xf>
    <xf borderId="0" fillId="5" fontId="1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AC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F9" displayName="Tabla_1" name="Tabla_1" id="1">
  <tableColumns count="5">
    <tableColumn name="NOMBRE " id="1"/>
    <tableColumn name="NOTA 1" id="2"/>
    <tableColumn name="NOTA 2" id="3"/>
    <tableColumn name="NOTA 3" id="4"/>
    <tableColumn name="NOTA MEDIA " id="5"/>
  </tableColumns>
  <tableStyleInfo name="AC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>
        <v>5.0</v>
      </c>
      <c r="C2" s="2" t="s">
        <v>4</v>
      </c>
      <c r="D2" s="2">
        <v>1.0</v>
      </c>
      <c r="E2" s="3">
        <f>B2*D2</f>
        <v>5</v>
      </c>
    </row>
    <row r="3">
      <c r="B3" s="2">
        <f t="shared" ref="B3:B11" si="1">B2</f>
        <v>5</v>
      </c>
      <c r="C3" s="2" t="s">
        <v>4</v>
      </c>
      <c r="D3" s="2">
        <v>2.0</v>
      </c>
      <c r="E3" s="3">
        <f>B2*D3</f>
        <v>10</v>
      </c>
    </row>
    <row r="4">
      <c r="B4" s="2">
        <f t="shared" si="1"/>
        <v>5</v>
      </c>
      <c r="C4" s="2" t="s">
        <v>4</v>
      </c>
      <c r="D4" s="2">
        <v>3.0</v>
      </c>
      <c r="E4" s="3">
        <f>B2*D4</f>
        <v>15</v>
      </c>
    </row>
    <row r="5">
      <c r="B5" s="2">
        <f t="shared" si="1"/>
        <v>5</v>
      </c>
      <c r="C5" s="2" t="s">
        <v>4</v>
      </c>
      <c r="D5" s="2">
        <v>4.0</v>
      </c>
      <c r="E5" s="3">
        <f>B2*D5</f>
        <v>20</v>
      </c>
    </row>
    <row r="6">
      <c r="B6" s="2">
        <f t="shared" si="1"/>
        <v>5</v>
      </c>
      <c r="C6" s="2" t="s">
        <v>4</v>
      </c>
      <c r="D6" s="2">
        <v>5.0</v>
      </c>
      <c r="E6" s="3">
        <f>B2*D6</f>
        <v>25</v>
      </c>
    </row>
    <row r="7">
      <c r="B7" s="2">
        <f t="shared" si="1"/>
        <v>5</v>
      </c>
      <c r="C7" s="2" t="s">
        <v>4</v>
      </c>
      <c r="D7" s="2">
        <v>6.0</v>
      </c>
      <c r="E7" s="3">
        <f>B2*D7</f>
        <v>30</v>
      </c>
    </row>
    <row r="8">
      <c r="B8" s="2">
        <f t="shared" si="1"/>
        <v>5</v>
      </c>
      <c r="C8" s="2" t="s">
        <v>4</v>
      </c>
      <c r="D8" s="2">
        <v>7.0</v>
      </c>
      <c r="E8" s="3">
        <f>B2*D8</f>
        <v>35</v>
      </c>
    </row>
    <row r="9">
      <c r="B9" s="2">
        <f t="shared" si="1"/>
        <v>5</v>
      </c>
      <c r="C9" s="2" t="s">
        <v>4</v>
      </c>
      <c r="D9" s="2">
        <v>8.0</v>
      </c>
      <c r="E9" s="3">
        <f>B2*D9</f>
        <v>40</v>
      </c>
    </row>
    <row r="10">
      <c r="B10" s="2">
        <f t="shared" si="1"/>
        <v>5</v>
      </c>
      <c r="C10" s="2" t="s">
        <v>4</v>
      </c>
      <c r="D10" s="2">
        <v>9.0</v>
      </c>
      <c r="E10" s="3">
        <f>B2*D10</f>
        <v>45</v>
      </c>
    </row>
    <row r="11">
      <c r="B11" s="2">
        <f t="shared" si="1"/>
        <v>5</v>
      </c>
      <c r="C11" s="2" t="s">
        <v>4</v>
      </c>
      <c r="D11" s="2">
        <v>10.0</v>
      </c>
      <c r="E11" s="3">
        <f>B2*D11</f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7" max="7" width="22.0"/>
  </cols>
  <sheetData>
    <row r="1">
      <c r="C1" s="4" t="s">
        <v>5</v>
      </c>
      <c r="D1" s="4" t="s">
        <v>6</v>
      </c>
      <c r="E1" s="4" t="s">
        <v>7</v>
      </c>
      <c r="G1" s="4" t="s">
        <v>8</v>
      </c>
    </row>
    <row r="2">
      <c r="B2" s="2" t="s">
        <v>9</v>
      </c>
      <c r="C2" s="2">
        <v>30.0</v>
      </c>
      <c r="D2" s="2">
        <v>30.0</v>
      </c>
      <c r="E2" s="2">
        <v>30.0</v>
      </c>
      <c r="G2" s="5">
        <f t="shared" ref="G2:G6" si="1">SUM(C2+D2+E2)</f>
        <v>90</v>
      </c>
    </row>
    <row r="3">
      <c r="B3" s="2" t="s">
        <v>10</v>
      </c>
      <c r="C3" s="2">
        <v>50.0</v>
      </c>
      <c r="D3" s="2">
        <v>60.0</v>
      </c>
      <c r="E3" s="2">
        <v>55.0</v>
      </c>
      <c r="G3" s="5">
        <f t="shared" si="1"/>
        <v>165</v>
      </c>
    </row>
    <row r="4">
      <c r="B4" s="2" t="s">
        <v>11</v>
      </c>
      <c r="C4" s="2">
        <v>40.0</v>
      </c>
      <c r="D4" s="2">
        <v>30.0</v>
      </c>
      <c r="E4" s="2">
        <v>45.0</v>
      </c>
      <c r="G4" s="5">
        <f t="shared" si="1"/>
        <v>115</v>
      </c>
    </row>
    <row r="5">
      <c r="B5" s="2" t="s">
        <v>12</v>
      </c>
      <c r="C5" s="2">
        <v>80.0</v>
      </c>
      <c r="D5" s="2">
        <v>75.0</v>
      </c>
      <c r="E5" s="2">
        <v>70.0</v>
      </c>
      <c r="G5" s="5">
        <f t="shared" si="1"/>
        <v>225</v>
      </c>
    </row>
    <row r="6">
      <c r="B6" s="2" t="s">
        <v>13</v>
      </c>
      <c r="C6" s="2">
        <v>90.0</v>
      </c>
      <c r="D6" s="2">
        <v>85.0</v>
      </c>
      <c r="E6" s="2">
        <v>150.0</v>
      </c>
      <c r="G6" s="5">
        <f t="shared" si="1"/>
        <v>325</v>
      </c>
    </row>
    <row r="8">
      <c r="B8" s="2" t="s">
        <v>14</v>
      </c>
      <c r="C8" s="5">
        <f t="shared" ref="C8:E8" si="2">SUM(C2:C6)</f>
        <v>290</v>
      </c>
      <c r="D8" s="5">
        <f t="shared" si="2"/>
        <v>280</v>
      </c>
      <c r="E8" s="5">
        <f t="shared" si="2"/>
        <v>350</v>
      </c>
      <c r="G8" s="5">
        <f>SUM(G2:G6)</f>
        <v>920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6" max="6" width="15.75"/>
  </cols>
  <sheetData>
    <row r="2">
      <c r="B2" s="6"/>
    </row>
    <row r="3" ht="22.5" customHeight="1"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</row>
    <row r="4" ht="22.5" customHeight="1">
      <c r="B4" s="8" t="s">
        <v>20</v>
      </c>
      <c r="C4" s="8">
        <v>4.5</v>
      </c>
      <c r="D4" s="8">
        <v>4.0</v>
      </c>
      <c r="E4" s="8">
        <v>3.8</v>
      </c>
      <c r="F4" s="9">
        <f t="shared" ref="F4:F9" si="1">AVERAGE(C4:E4)</f>
        <v>4.1</v>
      </c>
    </row>
    <row r="5" ht="22.5" customHeight="1">
      <c r="B5" s="8" t="s">
        <v>21</v>
      </c>
      <c r="C5" s="8">
        <v>4.5</v>
      </c>
      <c r="D5" s="8">
        <v>4.0</v>
      </c>
      <c r="E5" s="8">
        <v>7.0</v>
      </c>
      <c r="F5" s="9">
        <f t="shared" si="1"/>
        <v>5.166666667</v>
      </c>
    </row>
    <row r="6" ht="22.5" customHeight="1">
      <c r="B6" s="8" t="s">
        <v>22</v>
      </c>
      <c r="C6" s="8">
        <v>8.0</v>
      </c>
      <c r="D6" s="8">
        <v>5.0</v>
      </c>
      <c r="E6" s="8">
        <v>2.0</v>
      </c>
      <c r="F6" s="9">
        <f t="shared" si="1"/>
        <v>5</v>
      </c>
    </row>
    <row r="7" ht="22.5" customHeight="1">
      <c r="B7" s="8" t="s">
        <v>23</v>
      </c>
      <c r="C7" s="8">
        <v>6.0</v>
      </c>
      <c r="D7" s="8">
        <v>5.15</v>
      </c>
      <c r="E7" s="8">
        <v>8.25</v>
      </c>
      <c r="F7" s="9">
        <f t="shared" si="1"/>
        <v>6.466666667</v>
      </c>
    </row>
    <row r="8" ht="22.5" customHeight="1">
      <c r="B8" s="10" t="s">
        <v>24</v>
      </c>
      <c r="C8" s="8">
        <v>8.25</v>
      </c>
      <c r="D8" s="8">
        <v>5.75</v>
      </c>
      <c r="E8" s="8">
        <v>7.0</v>
      </c>
      <c r="F8" s="9">
        <f t="shared" si="1"/>
        <v>7</v>
      </c>
    </row>
    <row r="9" ht="22.5" customHeight="1">
      <c r="B9" s="8" t="s">
        <v>25</v>
      </c>
      <c r="C9" s="8">
        <v>8.0</v>
      </c>
      <c r="D9" s="8">
        <v>5.0</v>
      </c>
      <c r="E9" s="8">
        <v>3.0</v>
      </c>
      <c r="F9" s="9">
        <f t="shared" si="1"/>
        <v>5.333333333</v>
      </c>
    </row>
  </sheetData>
  <conditionalFormatting sqref="C4:F9">
    <cfRule type="cellIs" dxfId="5" priority="1" operator="greaterThanOrEqual">
      <formula>5</formula>
    </cfRule>
  </conditionalFormatting>
  <conditionalFormatting sqref="C4:F9">
    <cfRule type="cellIs" dxfId="6" priority="2" operator="lessThanOrEqual">
      <formula>4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4" max="4" width="26.13"/>
    <col customWidth="1" min="6" max="6" width="18.25"/>
    <col customWidth="1" min="7" max="7" width="16.5"/>
    <col customWidth="1" min="8" max="8" width="15.0"/>
  </cols>
  <sheetData>
    <row r="2" ht="35.25" customHeight="1">
      <c r="B2" s="11" t="s">
        <v>26</v>
      </c>
      <c r="C2" s="12"/>
      <c r="D2" s="12"/>
      <c r="E2" s="13"/>
      <c r="F2" s="12"/>
      <c r="G2" s="12"/>
      <c r="H2" s="14"/>
    </row>
    <row r="3">
      <c r="B3" s="15"/>
      <c r="C3" s="16"/>
      <c r="D3" s="16"/>
      <c r="E3" s="16"/>
      <c r="F3" s="16"/>
      <c r="G3" s="17" t="s">
        <v>27</v>
      </c>
      <c r="H3" s="18">
        <v>0.055</v>
      </c>
    </row>
    <row r="4" ht="32.25" customHeight="1">
      <c r="B4" s="19" t="s">
        <v>28</v>
      </c>
      <c r="C4" s="20" t="s">
        <v>29</v>
      </c>
      <c r="D4" s="21" t="s">
        <v>30</v>
      </c>
      <c r="E4" s="20" t="s">
        <v>29</v>
      </c>
      <c r="F4" s="19" t="s">
        <v>31</v>
      </c>
      <c r="G4" s="20" t="s">
        <v>32</v>
      </c>
      <c r="H4" s="20" t="s">
        <v>33</v>
      </c>
    </row>
    <row r="5" ht="20.25" customHeight="1">
      <c r="B5" s="22"/>
      <c r="C5" s="23" t="s">
        <v>34</v>
      </c>
      <c r="D5" s="22"/>
      <c r="E5" s="20" t="s">
        <v>35</v>
      </c>
      <c r="F5" s="22"/>
      <c r="G5" s="20" t="s">
        <v>36</v>
      </c>
      <c r="H5" s="24" t="s">
        <v>37</v>
      </c>
    </row>
    <row r="6">
      <c r="B6" s="25" t="s">
        <v>38</v>
      </c>
      <c r="C6" s="2">
        <v>2000.0</v>
      </c>
      <c r="D6" s="2">
        <v>2.0</v>
      </c>
      <c r="E6" s="26">
        <f t="shared" ref="E6:E12" si="1">C6/1000</f>
        <v>2</v>
      </c>
      <c r="F6" s="26">
        <f t="shared" ref="F6:F12" si="2">D6*30</f>
        <v>60</v>
      </c>
      <c r="G6" s="27">
        <f t="shared" ref="G6:G12" si="3">E6*F6</f>
        <v>120</v>
      </c>
      <c r="H6" s="26">
        <f t="shared" ref="H6:H12" si="4">0.055*G6</f>
        <v>6.6</v>
      </c>
    </row>
    <row r="7">
      <c r="B7" s="25" t="s">
        <v>39</v>
      </c>
      <c r="C7" s="2">
        <v>150.0</v>
      </c>
      <c r="D7" s="2">
        <v>5.0</v>
      </c>
      <c r="E7" s="26">
        <f t="shared" si="1"/>
        <v>0.15</v>
      </c>
      <c r="F7" s="26">
        <f t="shared" si="2"/>
        <v>150</v>
      </c>
      <c r="G7" s="27">
        <f t="shared" si="3"/>
        <v>22.5</v>
      </c>
      <c r="H7" s="26">
        <f t="shared" si="4"/>
        <v>1.2375</v>
      </c>
    </row>
    <row r="8">
      <c r="B8" s="25" t="s">
        <v>40</v>
      </c>
      <c r="C8" s="2">
        <v>300.0</v>
      </c>
      <c r="D8" s="2">
        <v>4.0</v>
      </c>
      <c r="E8" s="26">
        <f t="shared" si="1"/>
        <v>0.3</v>
      </c>
      <c r="F8" s="26">
        <f t="shared" si="2"/>
        <v>120</v>
      </c>
      <c r="G8" s="27">
        <f t="shared" si="3"/>
        <v>36</v>
      </c>
      <c r="H8" s="26">
        <f t="shared" si="4"/>
        <v>1.98</v>
      </c>
    </row>
    <row r="9">
      <c r="B9" s="25" t="s">
        <v>41</v>
      </c>
      <c r="C9" s="2">
        <v>1800.0</v>
      </c>
      <c r="D9" s="2">
        <v>1.5</v>
      </c>
      <c r="E9" s="26">
        <f t="shared" si="1"/>
        <v>1.8</v>
      </c>
      <c r="F9" s="26">
        <f t="shared" si="2"/>
        <v>45</v>
      </c>
      <c r="G9" s="27">
        <f t="shared" si="3"/>
        <v>81</v>
      </c>
      <c r="H9" s="26">
        <f t="shared" si="4"/>
        <v>4.455</v>
      </c>
    </row>
    <row r="10">
      <c r="B10" s="25" t="s">
        <v>42</v>
      </c>
      <c r="C10" s="2">
        <v>500.0</v>
      </c>
      <c r="D10" s="2">
        <v>5.0</v>
      </c>
      <c r="E10" s="26">
        <f t="shared" si="1"/>
        <v>0.5</v>
      </c>
      <c r="F10" s="26">
        <f t="shared" si="2"/>
        <v>150</v>
      </c>
      <c r="G10" s="27">
        <f t="shared" si="3"/>
        <v>75</v>
      </c>
      <c r="H10" s="26">
        <f t="shared" si="4"/>
        <v>4.125</v>
      </c>
    </row>
    <row r="11">
      <c r="B11" s="25" t="s">
        <v>43</v>
      </c>
      <c r="C11" s="2">
        <v>1100.0</v>
      </c>
      <c r="D11" s="2">
        <v>1.0</v>
      </c>
      <c r="E11" s="26">
        <f t="shared" si="1"/>
        <v>1.1</v>
      </c>
      <c r="F11" s="26">
        <f t="shared" si="2"/>
        <v>30</v>
      </c>
      <c r="G11" s="27">
        <f t="shared" si="3"/>
        <v>33</v>
      </c>
      <c r="H11" s="26">
        <f t="shared" si="4"/>
        <v>1.815</v>
      </c>
    </row>
    <row r="12">
      <c r="B12" s="25" t="s">
        <v>44</v>
      </c>
      <c r="C12" s="2">
        <v>250.0</v>
      </c>
      <c r="D12" s="2">
        <v>4.0</v>
      </c>
      <c r="E12" s="26">
        <f t="shared" si="1"/>
        <v>0.25</v>
      </c>
      <c r="F12" s="26">
        <f t="shared" si="2"/>
        <v>120</v>
      </c>
      <c r="G12" s="27">
        <f t="shared" si="3"/>
        <v>30</v>
      </c>
      <c r="H12" s="26">
        <f t="shared" si="4"/>
        <v>1.65</v>
      </c>
    </row>
    <row r="14">
      <c r="G14" s="28" t="s">
        <v>45</v>
      </c>
      <c r="H14" s="29">
        <f>SUM(H3:H12)</f>
        <v>21.9175</v>
      </c>
    </row>
    <row r="15">
      <c r="G15" s="16"/>
    </row>
    <row r="16">
      <c r="G16" s="28" t="s">
        <v>46</v>
      </c>
      <c r="H16" s="29">
        <f>H14*0.16</f>
        <v>3.5068</v>
      </c>
    </row>
    <row r="17">
      <c r="G17" s="16"/>
    </row>
    <row r="18">
      <c r="G18" s="28" t="s">
        <v>47</v>
      </c>
      <c r="H18" s="29">
        <f>SUM(H14+H16)</f>
        <v>25.4243</v>
      </c>
    </row>
  </sheetData>
  <mergeCells count="3">
    <mergeCell ref="B4:B5"/>
    <mergeCell ref="D4:D5"/>
    <mergeCell ref="F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5"/>
    <col customWidth="1" min="5" max="5" width="28.0"/>
    <col customWidth="1" min="7" max="7" width="23.5"/>
  </cols>
  <sheetData>
    <row r="3">
      <c r="B3" s="30" t="s">
        <v>48</v>
      </c>
    </row>
    <row r="4">
      <c r="B4" s="31" t="s">
        <v>49</v>
      </c>
    </row>
    <row r="6" ht="45.0" customHeight="1">
      <c r="B6" s="32" t="s">
        <v>50</v>
      </c>
      <c r="C6" s="32" t="s">
        <v>51</v>
      </c>
      <c r="D6" s="33" t="s">
        <v>52</v>
      </c>
      <c r="E6" s="34" t="s">
        <v>53</v>
      </c>
      <c r="F6" s="34" t="s">
        <v>54</v>
      </c>
      <c r="G6" s="34" t="s">
        <v>55</v>
      </c>
    </row>
    <row r="7">
      <c r="B7" s="2" t="s">
        <v>56</v>
      </c>
      <c r="C7" s="35">
        <v>65000.0</v>
      </c>
      <c r="D7" s="36">
        <v>40000.0</v>
      </c>
      <c r="E7" s="37">
        <f t="shared" ref="E7:E12" si="1">D7*100/C7</f>
        <v>61.53846154</v>
      </c>
      <c r="F7" s="37">
        <f t="shared" ref="F7:F12" si="2">C7-D7</f>
        <v>25000</v>
      </c>
      <c r="G7" s="37" t="str">
        <f t="shared" ref="G7:G12" si="3">IF(E7&gt;60,"SI","NO")</f>
        <v>SI</v>
      </c>
    </row>
    <row r="8">
      <c r="B8" s="2" t="s">
        <v>57</v>
      </c>
      <c r="C8" s="35">
        <v>57000.0</v>
      </c>
      <c r="D8" s="36">
        <v>50000.0</v>
      </c>
      <c r="E8" s="37">
        <f t="shared" si="1"/>
        <v>87.71929825</v>
      </c>
      <c r="F8" s="37">
        <f t="shared" si="2"/>
        <v>7000</v>
      </c>
      <c r="G8" s="37" t="str">
        <f t="shared" si="3"/>
        <v>SI</v>
      </c>
    </row>
    <row r="9">
      <c r="B9" s="2" t="s">
        <v>58</v>
      </c>
      <c r="C9" s="35">
        <v>45000.0</v>
      </c>
      <c r="D9" s="36">
        <v>35000.0</v>
      </c>
      <c r="E9" s="37">
        <f t="shared" si="1"/>
        <v>77.77777778</v>
      </c>
      <c r="F9" s="37">
        <f t="shared" si="2"/>
        <v>10000</v>
      </c>
      <c r="G9" s="37" t="str">
        <f t="shared" si="3"/>
        <v>SI</v>
      </c>
    </row>
    <row r="10">
      <c r="B10" s="2" t="s">
        <v>59</v>
      </c>
      <c r="C10" s="35">
        <v>30000.0</v>
      </c>
      <c r="D10" s="36">
        <v>15000.0</v>
      </c>
      <c r="E10" s="37">
        <f t="shared" si="1"/>
        <v>50</v>
      </c>
      <c r="F10" s="37">
        <f t="shared" si="2"/>
        <v>15000</v>
      </c>
      <c r="G10" s="37" t="str">
        <f t="shared" si="3"/>
        <v>NO</v>
      </c>
    </row>
    <row r="11">
      <c r="B11" s="2" t="s">
        <v>60</v>
      </c>
      <c r="C11" s="35">
        <v>25000.0</v>
      </c>
      <c r="D11" s="36">
        <v>20000.0</v>
      </c>
      <c r="E11" s="37">
        <f t="shared" si="1"/>
        <v>80</v>
      </c>
      <c r="F11" s="37">
        <f t="shared" si="2"/>
        <v>5000</v>
      </c>
      <c r="G11" s="37" t="str">
        <f t="shared" si="3"/>
        <v>SI</v>
      </c>
    </row>
    <row r="12">
      <c r="B12" s="2" t="s">
        <v>61</v>
      </c>
      <c r="C12" s="35">
        <v>20000.0</v>
      </c>
      <c r="D12" s="36">
        <v>10000.0</v>
      </c>
      <c r="E12" s="37">
        <f t="shared" si="1"/>
        <v>50</v>
      </c>
      <c r="F12" s="37">
        <f t="shared" si="2"/>
        <v>10000</v>
      </c>
      <c r="G12" s="37" t="str">
        <f t="shared" si="3"/>
        <v>NO</v>
      </c>
    </row>
    <row r="14">
      <c r="E14" s="38" t="s">
        <v>62</v>
      </c>
      <c r="G14" s="37">
        <f>COUNTIF(G7:G12,"SI")</f>
        <v>4</v>
      </c>
    </row>
    <row r="15">
      <c r="E15" s="38" t="s">
        <v>63</v>
      </c>
      <c r="G15" s="37">
        <f>COUNTIF(G8:G13,"NO")</f>
        <v>2</v>
      </c>
    </row>
    <row r="16">
      <c r="G16" s="39"/>
    </row>
    <row r="17">
      <c r="E17" s="38" t="s">
        <v>64</v>
      </c>
      <c r="G17" s="37" t="str">
        <f>IF(G14:G15&gt;(E14),"SI","NO)")</f>
        <v>#VALUE!</v>
      </c>
    </row>
  </sheetData>
  <mergeCells count="5">
    <mergeCell ref="B3:F3"/>
    <mergeCell ref="B4:D4"/>
    <mergeCell ref="E14:F14"/>
    <mergeCell ref="E15:F15"/>
    <mergeCell ref="E17:F17"/>
  </mergeCells>
  <drawing r:id="rId1"/>
</worksheet>
</file>
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1" sheetId="1" r:id="rId5"/>
    <sheet state="visible" name="ACT2" sheetId="2" r:id="rId6"/>
    <sheet state="visible" name="ACT3" sheetId="3" r:id="rId7"/>
  </sheets>
  <definedNames/>
  <calcPr/>
</workbook>
</file>

<file path=xl/sharedStrings.xml><?xml version="1.0" encoding="utf-8"?>
<sst xmlns="http://schemas.openxmlformats.org/spreadsheetml/2006/main" count="60" uniqueCount="49">
  <si>
    <t>NUMERO</t>
  </si>
  <si>
    <t>OPERACION</t>
  </si>
  <si>
    <t>TABLA</t>
  </si>
  <si>
    <t>RESULTADO</t>
  </si>
  <si>
    <t>X</t>
  </si>
  <si>
    <t>TABLA DE NOTAS DE MIS COMPAÑEROS</t>
  </si>
  <si>
    <t>Columna 1</t>
  </si>
  <si>
    <t>Columna 2</t>
  </si>
  <si>
    <t>Columna 3</t>
  </si>
  <si>
    <t>Columna 4</t>
  </si>
  <si>
    <t>NOMBRE</t>
  </si>
  <si>
    <t>NOTA 1</t>
  </si>
  <si>
    <t>NOTA 2</t>
  </si>
  <si>
    <t>NOTA 3</t>
  </si>
  <si>
    <t xml:space="preserve">NOTA MEDIA </t>
  </si>
  <si>
    <t>IZAN</t>
  </si>
  <si>
    <t>ANGEL</t>
  </si>
  <si>
    <t>STEVEN</t>
  </si>
  <si>
    <t>RUBEN</t>
  </si>
  <si>
    <t>PABLO</t>
  </si>
  <si>
    <t>ESTELA</t>
  </si>
  <si>
    <t>DICIEMBRE</t>
  </si>
  <si>
    <t>ENERO</t>
  </si>
  <si>
    <t>FEBRERO</t>
  </si>
  <si>
    <t>TOTAL TRIMESTRE</t>
  </si>
  <si>
    <t>ALIMENTACION</t>
  </si>
  <si>
    <t>TRANSPORTE</t>
  </si>
  <si>
    <t>COMPRAS</t>
  </si>
  <si>
    <t>FIESTA</t>
  </si>
  <si>
    <t>SALUD</t>
  </si>
  <si>
    <t>TOTAL</t>
  </si>
  <si>
    <t>Aparato</t>
  </si>
  <si>
    <t>Potencia</t>
  </si>
  <si>
    <t>Horas de funcionamiento diarias</t>
  </si>
  <si>
    <t>Horas Mensuales</t>
  </si>
  <si>
    <t>Energia</t>
  </si>
  <si>
    <t>Coste</t>
  </si>
  <si>
    <t>Watios</t>
  </si>
  <si>
    <t>KW</t>
  </si>
  <si>
    <t>KWh</t>
  </si>
  <si>
    <t>€</t>
  </si>
  <si>
    <t>Lavadora</t>
  </si>
  <si>
    <t>Televisor</t>
  </si>
  <si>
    <t>Frigorifico</t>
  </si>
  <si>
    <t>Lavavajillas</t>
  </si>
  <si>
    <t>Iluminacion</t>
  </si>
  <si>
    <t>Plancha</t>
  </si>
  <si>
    <t>Ordenador</t>
  </si>
  <si>
    <t>IVA 16%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</si>
</sst>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 shrinkToFit="0" wrapText="1"/>
    </xf>
    <xf borderId="1" fillId="3" fontId="1" numFmtId="0" xfId="0" applyBorder="1" applyFont="1"/>
    <xf borderId="1" fillId="5" fontId="1" numFmtId="0" xfId="0" applyAlignment="1" applyBorder="1" applyFont="1">
      <alignment readingOrder="0"/>
    </xf>
    <xf borderId="1" fillId="6" fontId="1" numFmtId="0" xfId="0" applyBorder="1" applyFill="1" applyFont="1"/>
    <xf borderId="1" fillId="7" fontId="1" numFmtId="0" xfId="0" applyBorder="1" applyFill="1" applyFont="1"/>
    <xf borderId="2" fillId="8" fontId="3" numFmtId="0" xfId="0" applyAlignment="1" applyBorder="1" applyFill="1" applyFont="1">
      <alignment readingOrder="0"/>
    </xf>
    <xf borderId="1" fillId="8" fontId="3" numFmtId="0" xfId="0" applyAlignment="1" applyBorder="1" applyFont="1">
      <alignment readingOrder="0"/>
    </xf>
    <xf borderId="2" fillId="8" fontId="3" numFmtId="0" xfId="0" applyAlignment="1" applyBorder="1" applyFont="1">
      <alignment readingOrder="0" shrinkToFit="0" wrapText="1"/>
    </xf>
    <xf borderId="3" fillId="8" fontId="3" numFmtId="0" xfId="0" applyAlignment="1" applyBorder="1" applyFont="1">
      <alignment readingOrder="0"/>
    </xf>
    <xf borderId="4" fillId="0" fontId="4" numFmtId="0" xfId="0" applyBorder="1" applyFont="1"/>
    <xf borderId="4" fillId="8" fontId="3" numFmtId="0" xfId="0" applyAlignment="1" applyBorder="1" applyFont="1">
      <alignment readingOrder="0"/>
    </xf>
    <xf borderId="1" fillId="9" fontId="1" numFmtId="0" xfId="0" applyBorder="1" applyFill="1" applyFont="1"/>
    <xf borderId="1" fillId="8" fontId="1" numFmtId="0" xfId="0" applyAlignment="1" applyBorder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38761D"/>
      </font>
      <fill>
        <patternFill patternType="solid">
          <fgColor rgb="FFB7E1CD"/>
          <bgColor rgb="FFB7E1CD"/>
        </patternFill>
      </fill>
      <border/>
    </dxf>
  </dxfs>
  <tableStyles count="1">
    <tableStyle count="4" pivot="0" name="AC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5:F23" displayName="Tabla_1" name="Tabla_1" id="1">
  <tableColumns count="5">
    <tableColumn name="TABLA DE NOTAS DE MIS COMPAÑEROS" id="1"/>
    <tableColumn name="Columna 1" id="2"/>
    <tableColumn name="Columna 2" id="3"/>
    <tableColumn name="Columna 3" id="4"/>
    <tableColumn name="Columna 4" id="5"/>
  </tableColumns>
  <tableStyleInfo name="AC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6" width="13.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>
        <v>6.0</v>
      </c>
      <c r="C2" s="2" t="s">
        <v>4</v>
      </c>
      <c r="D2" s="2">
        <v>1.0</v>
      </c>
      <c r="E2" s="3">
        <f t="shared" ref="E2:E11" si="1">B2*D2</f>
        <v>6</v>
      </c>
    </row>
    <row r="3">
      <c r="B3" s="2">
        <f t="shared" ref="B3:B11" si="2">B2</f>
        <v>6</v>
      </c>
      <c r="C3" s="2" t="s">
        <v>4</v>
      </c>
      <c r="D3" s="3">
        <f t="shared" ref="D3:D11" si="3">D2+1</f>
        <v>2</v>
      </c>
      <c r="E3" s="3">
        <f t="shared" si="1"/>
        <v>12</v>
      </c>
    </row>
    <row r="4">
      <c r="B4" s="2">
        <f t="shared" si="2"/>
        <v>6</v>
      </c>
      <c r="C4" s="2" t="s">
        <v>4</v>
      </c>
      <c r="D4" s="3">
        <f t="shared" si="3"/>
        <v>3</v>
      </c>
      <c r="E4" s="3">
        <f t="shared" si="1"/>
        <v>18</v>
      </c>
    </row>
    <row r="5">
      <c r="B5" s="2">
        <f t="shared" si="2"/>
        <v>6</v>
      </c>
      <c r="C5" s="2" t="s">
        <v>4</v>
      </c>
      <c r="D5" s="3">
        <f t="shared" si="3"/>
        <v>4</v>
      </c>
      <c r="E5" s="3">
        <f t="shared" si="1"/>
        <v>24</v>
      </c>
    </row>
    <row r="6">
      <c r="B6" s="2">
        <f t="shared" si="2"/>
        <v>6</v>
      </c>
      <c r="C6" s="2" t="s">
        <v>4</v>
      </c>
      <c r="D6" s="3">
        <f t="shared" si="3"/>
        <v>5</v>
      </c>
      <c r="E6" s="3">
        <f t="shared" si="1"/>
        <v>30</v>
      </c>
    </row>
    <row r="7">
      <c r="B7" s="2">
        <f t="shared" si="2"/>
        <v>6</v>
      </c>
      <c r="C7" s="2" t="s">
        <v>4</v>
      </c>
      <c r="D7" s="3">
        <f t="shared" si="3"/>
        <v>6</v>
      </c>
      <c r="E7" s="3">
        <f t="shared" si="1"/>
        <v>36</v>
      </c>
    </row>
    <row r="8">
      <c r="B8" s="2">
        <f t="shared" si="2"/>
        <v>6</v>
      </c>
      <c r="C8" s="2" t="s">
        <v>4</v>
      </c>
      <c r="D8" s="3">
        <f t="shared" si="3"/>
        <v>7</v>
      </c>
      <c r="E8" s="3">
        <f t="shared" si="1"/>
        <v>42</v>
      </c>
    </row>
    <row r="9">
      <c r="B9" s="2">
        <f t="shared" si="2"/>
        <v>6</v>
      </c>
      <c r="C9" s="2" t="s">
        <v>4</v>
      </c>
      <c r="D9" s="3">
        <f t="shared" si="3"/>
        <v>8</v>
      </c>
      <c r="E9" s="3">
        <f t="shared" si="1"/>
        <v>48</v>
      </c>
    </row>
    <row r="10">
      <c r="B10" s="2">
        <f t="shared" si="2"/>
        <v>6</v>
      </c>
      <c r="C10" s="2" t="s">
        <v>4</v>
      </c>
      <c r="D10" s="3">
        <f t="shared" si="3"/>
        <v>9</v>
      </c>
      <c r="E10" s="3">
        <f t="shared" si="1"/>
        <v>54</v>
      </c>
    </row>
    <row r="11">
      <c r="B11" s="2">
        <f t="shared" si="2"/>
        <v>6</v>
      </c>
      <c r="C11" s="2" t="s">
        <v>4</v>
      </c>
      <c r="D11" s="3">
        <f t="shared" si="3"/>
        <v>10</v>
      </c>
      <c r="E11" s="3">
        <f t="shared" si="1"/>
        <v>60</v>
      </c>
    </row>
    <row r="15" ht="22.5" customHeight="1">
      <c r="B15" s="4" t="s">
        <v>5</v>
      </c>
      <c r="C15" s="4" t="s">
        <v>6</v>
      </c>
      <c r="D15" s="4" t="s">
        <v>7</v>
      </c>
      <c r="E15" s="4" t="s">
        <v>8</v>
      </c>
      <c r="F15" s="4" t="s">
        <v>9</v>
      </c>
    </row>
    <row r="16" ht="22.5" customHeight="1">
      <c r="B16" s="5"/>
      <c r="C16" s="5"/>
      <c r="D16" s="5"/>
      <c r="E16" s="5"/>
      <c r="F16" s="5"/>
    </row>
    <row r="17" ht="22.5" customHeight="1">
      <c r="B17" s="6" t="s">
        <v>10</v>
      </c>
      <c r="C17" s="6" t="s">
        <v>11</v>
      </c>
      <c r="D17" s="6" t="s">
        <v>12</v>
      </c>
      <c r="E17" s="6" t="s">
        <v>13</v>
      </c>
      <c r="F17" s="6" t="s">
        <v>14</v>
      </c>
    </row>
    <row r="18" ht="22.5" customHeight="1">
      <c r="B18" s="7" t="s">
        <v>15</v>
      </c>
      <c r="C18" s="8">
        <v>5.89</v>
      </c>
      <c r="D18" s="7">
        <v>7.85</v>
      </c>
      <c r="E18" s="7">
        <v>6.33</v>
      </c>
      <c r="F18" s="9">
        <f t="shared" ref="F18:F23" si="4">AVERAGE(C18:E18)</f>
        <v>6.69</v>
      </c>
    </row>
    <row r="19" ht="22.5" customHeight="1">
      <c r="B19" s="7" t="s">
        <v>16</v>
      </c>
      <c r="C19" s="7">
        <v>5.5</v>
      </c>
      <c r="D19" s="7">
        <v>6.5</v>
      </c>
      <c r="E19" s="7">
        <v>8.3</v>
      </c>
      <c r="F19" s="9">
        <f t="shared" si="4"/>
        <v>6.766666667</v>
      </c>
    </row>
    <row r="20" ht="22.5" customHeight="1">
      <c r="B20" s="7" t="s">
        <v>17</v>
      </c>
      <c r="C20" s="7">
        <v>9.2</v>
      </c>
      <c r="D20" s="7">
        <v>4.0</v>
      </c>
      <c r="E20" s="7">
        <v>4.7</v>
      </c>
      <c r="F20" s="9">
        <f t="shared" si="4"/>
        <v>5.966666667</v>
      </c>
    </row>
    <row r="21" ht="22.5" customHeight="1">
      <c r="B21" s="7" t="s">
        <v>18</v>
      </c>
      <c r="C21" s="7">
        <v>1.5</v>
      </c>
      <c r="D21" s="7">
        <v>3.5</v>
      </c>
      <c r="E21" s="7">
        <v>3.8</v>
      </c>
      <c r="F21" s="9">
        <f t="shared" si="4"/>
        <v>2.933333333</v>
      </c>
    </row>
    <row r="22" ht="22.5" customHeight="1">
      <c r="B22" s="7" t="s">
        <v>19</v>
      </c>
      <c r="C22" s="7">
        <v>6.0</v>
      </c>
      <c r="D22" s="7">
        <v>7.0</v>
      </c>
      <c r="E22" s="7">
        <v>8.25</v>
      </c>
      <c r="F22" s="9">
        <f t="shared" si="4"/>
        <v>7.083333333</v>
      </c>
    </row>
    <row r="23" ht="22.5" customHeight="1">
      <c r="B23" s="7" t="s">
        <v>20</v>
      </c>
      <c r="C23" s="7">
        <v>7.5</v>
      </c>
      <c r="D23" s="7">
        <v>8.3</v>
      </c>
      <c r="E23" s="7">
        <v>5.7</v>
      </c>
      <c r="F23" s="9">
        <f t="shared" si="4"/>
        <v>7.166666667</v>
      </c>
    </row>
    <row r="24">
      <c r="B24" s="10"/>
      <c r="C24" s="10"/>
      <c r="D24" s="10"/>
      <c r="E24" s="11"/>
      <c r="F24" s="10"/>
    </row>
  </sheetData>
  <conditionalFormatting sqref="C18:F23">
    <cfRule type="cellIs" dxfId="5" priority="1" operator="greaterThan">
      <formula>5</formula>
    </cfRule>
  </conditionalFormatting>
  <conditionalFormatting sqref="C18:F23">
    <cfRule type="cellIs" dxfId="6" priority="2" operator="lessThan">
      <formula>5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6" max="6" width="16.25"/>
  </cols>
  <sheetData>
    <row r="1">
      <c r="B1" s="12" t="s">
        <v>21</v>
      </c>
      <c r="C1" s="12" t="s">
        <v>22</v>
      </c>
      <c r="D1" s="12" t="s">
        <v>23</v>
      </c>
      <c r="F1" s="2" t="s">
        <v>24</v>
      </c>
    </row>
    <row r="2">
      <c r="A2" s="13" t="s">
        <v>25</v>
      </c>
      <c r="B2" s="2">
        <v>29.26</v>
      </c>
      <c r="C2" s="2">
        <v>24.31</v>
      </c>
      <c r="D2" s="2">
        <v>143.37</v>
      </c>
      <c r="F2" s="14">
        <f t="shared" ref="F2:F6" si="1">SUM(B2:D2)</f>
        <v>196.94</v>
      </c>
    </row>
    <row r="3">
      <c r="A3" s="15" t="s">
        <v>26</v>
      </c>
      <c r="B3" s="2">
        <v>91.98</v>
      </c>
      <c r="C3" s="2">
        <v>35.0</v>
      </c>
      <c r="D3" s="2">
        <v>36.9</v>
      </c>
      <c r="F3" s="14">
        <f t="shared" si="1"/>
        <v>163.88</v>
      </c>
    </row>
    <row r="4">
      <c r="A4" s="15" t="s">
        <v>27</v>
      </c>
      <c r="B4" s="2">
        <v>138.33</v>
      </c>
      <c r="C4" s="2">
        <v>129.68</v>
      </c>
      <c r="D4" s="2">
        <v>25.13</v>
      </c>
      <c r="F4" s="14">
        <f t="shared" si="1"/>
        <v>293.14</v>
      </c>
    </row>
    <row r="5">
      <c r="A5" s="15" t="s">
        <v>28</v>
      </c>
      <c r="B5" s="2">
        <v>22.38</v>
      </c>
      <c r="C5" s="2">
        <v>12.04</v>
      </c>
      <c r="D5" s="2">
        <v>12.0</v>
      </c>
      <c r="F5" s="14">
        <f t="shared" si="1"/>
        <v>46.42</v>
      </c>
    </row>
    <row r="6">
      <c r="A6" s="15" t="s">
        <v>29</v>
      </c>
      <c r="B6" s="2">
        <v>7.98</v>
      </c>
      <c r="C6" s="2">
        <v>16.58</v>
      </c>
      <c r="D6" s="2">
        <v>23.54</v>
      </c>
      <c r="F6" s="14">
        <f t="shared" si="1"/>
        <v>48.1</v>
      </c>
    </row>
    <row r="8">
      <c r="A8" s="2" t="s">
        <v>30</v>
      </c>
      <c r="B8" s="16">
        <f t="shared" ref="B8:D8" si="2">SUM(B2:B6)</f>
        <v>289.93</v>
      </c>
      <c r="C8" s="16">
        <f t="shared" si="2"/>
        <v>217.61</v>
      </c>
      <c r="D8" s="16">
        <f t="shared" si="2"/>
        <v>240.94</v>
      </c>
      <c r="F8" s="17">
        <f>SUM(B2:D6)</f>
        <v>748.48</v>
      </c>
    </row>
  </sheetData>
  <conditionalFormatting sqref="F8">
    <cfRule type="cellIs" dxfId="7" priority="1" operator="greaterThan">
      <formula>800</formula>
    </cfRule>
  </conditionalFormatting>
  <conditionalFormatting sqref="F8">
    <cfRule type="cellIs" dxfId="8" priority="2" operator="lessThan">
      <formula>800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5"/>
  </cols>
  <sheetData>
    <row r="2" ht="27.75" customHeight="1">
      <c r="B2" s="18" t="s">
        <v>31</v>
      </c>
      <c r="C2" s="19" t="s">
        <v>32</v>
      </c>
      <c r="D2" s="20" t="s">
        <v>33</v>
      </c>
      <c r="E2" s="19" t="s">
        <v>32</v>
      </c>
      <c r="F2" s="20" t="s">
        <v>34</v>
      </c>
      <c r="G2" s="19" t="s">
        <v>35</v>
      </c>
      <c r="H2" s="21" t="s">
        <v>36</v>
      </c>
    </row>
    <row r="3" ht="31.5" customHeight="1">
      <c r="B3" s="22"/>
      <c r="C3" s="19" t="s">
        <v>37</v>
      </c>
      <c r="D3" s="22"/>
      <c r="E3" s="19" t="s">
        <v>38</v>
      </c>
      <c r="F3" s="22"/>
      <c r="G3" s="23" t="s">
        <v>39</v>
      </c>
      <c r="H3" s="19" t="s">
        <v>40</v>
      </c>
    </row>
    <row r="4">
      <c r="B4" s="2" t="s">
        <v>41</v>
      </c>
      <c r="C4" s="2">
        <v>2000.0</v>
      </c>
      <c r="D4" s="2">
        <v>4.0</v>
      </c>
      <c r="E4" s="24">
        <f t="shared" ref="E4:E10" si="1">C4/1000</f>
        <v>2</v>
      </c>
      <c r="F4" s="24">
        <f t="shared" ref="F4:F10" si="2">D4*30</f>
        <v>120</v>
      </c>
      <c r="G4" s="24">
        <f t="shared" ref="G4:G10" si="3">E4*F4</f>
        <v>240</v>
      </c>
      <c r="H4" s="24">
        <f t="shared" ref="H4:H10" si="4">G4*0.055</f>
        <v>13.2</v>
      </c>
    </row>
    <row r="5">
      <c r="B5" s="2" t="s">
        <v>42</v>
      </c>
      <c r="C5" s="2">
        <v>200.0</v>
      </c>
      <c r="D5" s="2">
        <v>2.0</v>
      </c>
      <c r="E5" s="24">
        <f t="shared" si="1"/>
        <v>0.2</v>
      </c>
      <c r="F5" s="24">
        <f t="shared" si="2"/>
        <v>60</v>
      </c>
      <c r="G5" s="24">
        <f t="shared" si="3"/>
        <v>12</v>
      </c>
      <c r="H5" s="24">
        <f t="shared" si="4"/>
        <v>0.66</v>
      </c>
    </row>
    <row r="6">
      <c r="B6" s="2" t="s">
        <v>43</v>
      </c>
      <c r="C6" s="2">
        <v>300.0</v>
      </c>
      <c r="D6" s="2">
        <v>24.0</v>
      </c>
      <c r="E6" s="24">
        <f t="shared" si="1"/>
        <v>0.3</v>
      </c>
      <c r="F6" s="24">
        <f t="shared" si="2"/>
        <v>720</v>
      </c>
      <c r="G6" s="24">
        <f t="shared" si="3"/>
        <v>216</v>
      </c>
      <c r="H6" s="24">
        <f t="shared" si="4"/>
        <v>11.88</v>
      </c>
    </row>
    <row r="7">
      <c r="B7" s="2" t="s">
        <v>44</v>
      </c>
      <c r="C7" s="2">
        <v>1800.0</v>
      </c>
      <c r="D7" s="2">
        <v>3.0</v>
      </c>
      <c r="E7" s="24">
        <f t="shared" si="1"/>
        <v>1.8</v>
      </c>
      <c r="F7" s="24">
        <f t="shared" si="2"/>
        <v>90</v>
      </c>
      <c r="G7" s="24">
        <f t="shared" si="3"/>
        <v>162</v>
      </c>
      <c r="H7" s="24">
        <f t="shared" si="4"/>
        <v>8.91</v>
      </c>
    </row>
    <row r="8">
      <c r="B8" s="2" t="s">
        <v>45</v>
      </c>
      <c r="C8" s="2">
        <v>500.0</v>
      </c>
      <c r="D8" s="2">
        <v>12.0</v>
      </c>
      <c r="E8" s="24">
        <f t="shared" si="1"/>
        <v>0.5</v>
      </c>
      <c r="F8" s="24">
        <f t="shared" si="2"/>
        <v>360</v>
      </c>
      <c r="G8" s="24">
        <f t="shared" si="3"/>
        <v>180</v>
      </c>
      <c r="H8" s="24">
        <f t="shared" si="4"/>
        <v>9.9</v>
      </c>
    </row>
    <row r="9">
      <c r="B9" s="2" t="s">
        <v>46</v>
      </c>
      <c r="C9" s="2">
        <v>1200.0</v>
      </c>
      <c r="D9" s="2">
        <v>1.0</v>
      </c>
      <c r="E9" s="24">
        <f t="shared" si="1"/>
        <v>1.2</v>
      </c>
      <c r="F9" s="24">
        <f t="shared" si="2"/>
        <v>30</v>
      </c>
      <c r="G9" s="24">
        <f t="shared" si="3"/>
        <v>36</v>
      </c>
      <c r="H9" s="24">
        <f t="shared" si="4"/>
        <v>1.98</v>
      </c>
    </row>
    <row r="10">
      <c r="B10" s="2" t="s">
        <v>47</v>
      </c>
      <c r="C10" s="2">
        <v>250.0</v>
      </c>
      <c r="D10" s="2">
        <v>4.0</v>
      </c>
      <c r="E10" s="24">
        <f t="shared" si="1"/>
        <v>0.25</v>
      </c>
      <c r="F10" s="24">
        <f t="shared" si="2"/>
        <v>120</v>
      </c>
      <c r="G10" s="24">
        <f t="shared" si="3"/>
        <v>30</v>
      </c>
      <c r="H10" s="24">
        <f t="shared" si="4"/>
        <v>1.65</v>
      </c>
    </row>
    <row r="12">
      <c r="G12" s="19" t="s">
        <v>30</v>
      </c>
      <c r="H12" s="24">
        <f>SUM(H4:H10)</f>
        <v>48.18</v>
      </c>
    </row>
    <row r="14">
      <c r="G14" s="25" t="s">
        <v>48</v>
      </c>
      <c r="H14" s="24">
        <f>H12*0.16</f>
        <v>7.7088</v>
      </c>
    </row>
  </sheetData>
  <mergeCells count="3">
    <mergeCell ref="B2:B3"/>
    <mergeCell ref="D2:D3"/>
    <mergeCell ref="F2:F3"/>
  </mergeCells>
  <drawing r:id="rId1"/>
</worksheet>
</file>
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dad 1" sheetId="1" r:id="rId5"/>
    <sheet state="visible" name="actividad 2 " sheetId="2" r:id="rId6"/>
    <sheet state="visible" name="actividad 3" sheetId="3" r:id="rId7"/>
    <sheet state="visible" name="actividad 4" sheetId="4" r:id="rId8"/>
    <sheet state="visible" name="actividad 5" sheetId="5" r:id="rId9"/>
  </sheets>
  <definedNames/>
  <calcPr/>
</workbook>
</file>

<file path=xl/sharedStrings.xml><?xml version="1.0" encoding="utf-8"?>
<sst xmlns="http://schemas.openxmlformats.org/spreadsheetml/2006/main" count="75" uniqueCount="65">
  <si>
    <t>NUMERO</t>
  </si>
  <si>
    <t>TABLA</t>
  </si>
  <si>
    <t>OPERACION</t>
  </si>
  <si>
    <t>RESULTADO</t>
  </si>
  <si>
    <t>X</t>
  </si>
  <si>
    <t>enero</t>
  </si>
  <si>
    <t xml:space="preserve">febrero </t>
  </si>
  <si>
    <t>marzo</t>
  </si>
  <si>
    <t>total trimestre</t>
  </si>
  <si>
    <t>luz</t>
  </si>
  <si>
    <t>agua</t>
  </si>
  <si>
    <t>wifi</t>
  </si>
  <si>
    <t>compra</t>
  </si>
  <si>
    <t>gimnasio</t>
  </si>
  <si>
    <t>total</t>
  </si>
  <si>
    <t xml:space="preserve">NOTAS DE MIS COMPAÑEROS DE CLASE </t>
  </si>
  <si>
    <t xml:space="preserve">NOMBRE </t>
  </si>
  <si>
    <t>NOTA 1</t>
  </si>
  <si>
    <t>NOTA 2</t>
  </si>
  <si>
    <t>NOTA 3</t>
  </si>
  <si>
    <t>MEDIA</t>
  </si>
  <si>
    <t xml:space="preserve">Isabel </t>
  </si>
  <si>
    <t>Asmaa</t>
  </si>
  <si>
    <t>Yassmin</t>
  </si>
  <si>
    <t>Hajar</t>
  </si>
  <si>
    <t>Chaima</t>
  </si>
  <si>
    <t xml:space="preserve">Ibtisam </t>
  </si>
  <si>
    <t xml:space="preserve">                                  CALCULO DE LA FACTURA  DE LA COMPAÑIA ELECTRICA                                    </t>
  </si>
  <si>
    <t>kwH.=</t>
  </si>
  <si>
    <t>aparato</t>
  </si>
  <si>
    <t xml:space="preserve">potencia </t>
  </si>
  <si>
    <t>horas de funcionamiento diarias</t>
  </si>
  <si>
    <t>potencia</t>
  </si>
  <si>
    <t>horas mensuales</t>
  </si>
  <si>
    <t>energia</t>
  </si>
  <si>
    <t>coste</t>
  </si>
  <si>
    <t>watios</t>
  </si>
  <si>
    <t>KW</t>
  </si>
  <si>
    <t>€</t>
  </si>
  <si>
    <t>televisor</t>
  </si>
  <si>
    <t>frigorifico</t>
  </si>
  <si>
    <t>lavavajillas</t>
  </si>
  <si>
    <t>iluminacion</t>
  </si>
  <si>
    <t>plancha</t>
  </si>
  <si>
    <t>pordenador</t>
  </si>
  <si>
    <t>TOTAL</t>
  </si>
  <si>
    <t>IVA 16%</t>
  </si>
  <si>
    <t xml:space="preserve">         TOTAL CON IVA</t>
  </si>
  <si>
    <t xml:space="preserve">COMPAÑIA ESPAÑOLA DE CAMPOS DE FUTBOL </t>
  </si>
  <si>
    <t>Estudio de rentabilidad año 2014</t>
  </si>
  <si>
    <t>localidad</t>
  </si>
  <si>
    <t xml:space="preserve">n de plazas </t>
  </si>
  <si>
    <t xml:space="preserve"> promedio de ocupacion</t>
  </si>
  <si>
    <t>porcentaje de ocupacion</t>
  </si>
  <si>
    <t>diferencia</t>
  </si>
  <si>
    <t>¿es rentables ? SI/NO</t>
  </si>
  <si>
    <t>madrid</t>
  </si>
  <si>
    <t>barcelona</t>
  </si>
  <si>
    <t>valencia</t>
  </si>
  <si>
    <t>zaragoza</t>
  </si>
  <si>
    <t>sevilla</t>
  </si>
  <si>
    <t>bilbao</t>
  </si>
  <si>
    <t xml:space="preserve">n campos rentables </t>
  </si>
  <si>
    <t xml:space="preserve">n campos no rentables </t>
  </si>
  <si>
    <t>¿es rentables en conjunto?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</si>
</sst>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3" fontId="2" numFmtId="0" xfId="0" applyAlignment="1" applyBorder="1" applyFill="1" applyFont="1">
      <alignment readingOrder="0"/>
    </xf>
    <xf borderId="1" fillId="3" fontId="1" numFmtId="0" xfId="0" applyAlignment="1" applyBorder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5" fontId="1" numFmtId="0" xfId="0" applyAlignment="1" applyBorder="1" applyFill="1" applyFont="1">
      <alignment readingOrder="0"/>
    </xf>
    <xf borderId="1" fillId="5" fontId="1" numFmtId="0" xfId="0" applyBorder="1" applyFont="1"/>
    <xf borderId="1" fillId="6" fontId="1" numFmtId="0" xfId="0" applyAlignment="1" applyBorder="1" applyFill="1" applyFont="1">
      <alignment readingOrder="0"/>
    </xf>
    <xf borderId="1" fillId="6" fontId="1" numFmtId="0" xfId="0" applyAlignment="1" applyBorder="1" applyFont="1">
      <alignment readingOrder="0" shrinkToFit="0" wrapText="1"/>
    </xf>
    <xf borderId="0" fillId="6" fontId="1" numFmtId="0" xfId="0" applyAlignment="1" applyFont="1">
      <alignment readingOrder="0" shrinkToFit="0" wrapText="1"/>
    </xf>
    <xf borderId="1" fillId="6" fontId="1" numFmtId="0" xfId="0" applyBorder="1" applyFont="1"/>
    <xf borderId="1" fillId="6" fontId="1" numFmtId="0" xfId="0" applyAlignment="1" applyBorder="1" applyFont="1">
      <alignment shrinkToFit="0" wrapText="1"/>
    </xf>
    <xf borderId="1" fillId="7" fontId="1" numFmtId="0" xfId="0" applyBorder="1" applyFill="1" applyFont="1"/>
    <xf borderId="0" fillId="6" fontId="1" numFmtId="0" xfId="0" applyAlignment="1" applyFont="1">
      <alignment readingOrder="0"/>
    </xf>
    <xf borderId="0" fillId="7" fontId="1" numFmtId="0" xfId="0" applyFont="1"/>
    <xf borderId="0" fillId="8" fontId="2" numFmtId="0" xfId="0" applyAlignment="1" applyFill="1" applyFont="1">
      <alignment readingOrder="0"/>
    </xf>
    <xf borderId="0" fillId="8" fontId="2" numFmtId="0" xfId="0" applyFont="1"/>
    <xf borderId="0" fillId="9" fontId="1" numFmtId="0" xfId="0" applyAlignment="1" applyFill="1" applyFont="1">
      <alignment readingOrder="0"/>
    </xf>
    <xf borderId="0" fillId="9" fontId="1" numFmtId="0" xfId="0" applyFont="1"/>
    <xf borderId="1" fillId="7" fontId="1" numFmtId="0" xfId="0" applyAlignment="1" applyBorder="1" applyFont="1">
      <alignment readingOrder="0"/>
    </xf>
    <xf borderId="1" fillId="7" fontId="1" numFmtId="0" xfId="0" applyAlignment="1" applyBorder="1" applyFont="1">
      <alignment readingOrder="0" shrinkToFit="0" wrapText="1"/>
    </xf>
    <xf borderId="1" fillId="10" fontId="1" numFmtId="0" xfId="0" applyAlignment="1" applyBorder="1" applyFill="1" applyFont="1">
      <alignment readingOrder="0"/>
    </xf>
    <xf borderId="1" fillId="10" fontId="1" numFmtId="0" xfId="0" applyBorder="1" applyFont="1"/>
    <xf borderId="0" fillId="0" fontId="1" numFmtId="0" xfId="0" applyAlignment="1" applyFont="1">
      <alignment readingOrder="0"/>
    </xf>
    <xf borderId="0" fillId="10" fontId="1" numFmtId="0" xfId="0" applyFont="1"/>
  </cellXfs>
  <cellStyles count="1">
    <cellStyle xfId="0" name="Normal" builtinId="0"/>
  </cellStyles>
  <dxfs count="7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actividad 3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F10" displayName="Tabla_1" name="Tabla_1" id="1">
  <tableColumns count="5">
    <tableColumn name="NOMBRE " id="1"/>
    <tableColumn name="NOTA 1" id="2"/>
    <tableColumn name="NOTA 2" id="3"/>
    <tableColumn name="NOTA 3" id="4"/>
    <tableColumn name="MEDIA" id="5"/>
  </tableColumns>
  <tableStyleInfo name="actividad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B2" s="2">
        <v>5.0</v>
      </c>
      <c r="C2" s="2" t="s">
        <v>4</v>
      </c>
      <c r="D2" s="2">
        <v>1.0</v>
      </c>
      <c r="E2" s="3">
        <f t="shared" ref="E2:E11" si="1">B2*D2</f>
        <v>5</v>
      </c>
    </row>
    <row r="3">
      <c r="B3" s="2">
        <f t="shared" ref="B3:B11" si="2">B2</f>
        <v>5</v>
      </c>
      <c r="C3" s="2" t="s">
        <v>4</v>
      </c>
      <c r="D3" s="3">
        <f t="shared" ref="D3:D11" si="3">D2+1</f>
        <v>2</v>
      </c>
      <c r="E3" s="3">
        <f t="shared" si="1"/>
        <v>10</v>
      </c>
    </row>
    <row r="4">
      <c r="B4" s="2">
        <f t="shared" si="2"/>
        <v>5</v>
      </c>
      <c r="C4" s="2" t="s">
        <v>4</v>
      </c>
      <c r="D4" s="3">
        <f t="shared" si="3"/>
        <v>3</v>
      </c>
      <c r="E4" s="3">
        <f t="shared" si="1"/>
        <v>15</v>
      </c>
    </row>
    <row r="5">
      <c r="B5" s="2">
        <f t="shared" si="2"/>
        <v>5</v>
      </c>
      <c r="C5" s="2" t="s">
        <v>4</v>
      </c>
      <c r="D5" s="3">
        <f t="shared" si="3"/>
        <v>4</v>
      </c>
      <c r="E5" s="3">
        <f t="shared" si="1"/>
        <v>20</v>
      </c>
    </row>
    <row r="6">
      <c r="B6" s="2">
        <f t="shared" si="2"/>
        <v>5</v>
      </c>
      <c r="C6" s="2" t="s">
        <v>4</v>
      </c>
      <c r="D6" s="3">
        <f t="shared" si="3"/>
        <v>5</v>
      </c>
      <c r="E6" s="3">
        <f t="shared" si="1"/>
        <v>25</v>
      </c>
    </row>
    <row r="7">
      <c r="B7" s="2">
        <f t="shared" si="2"/>
        <v>5</v>
      </c>
      <c r="C7" s="2" t="s">
        <v>4</v>
      </c>
      <c r="D7" s="3">
        <f t="shared" si="3"/>
        <v>6</v>
      </c>
      <c r="E7" s="3">
        <f t="shared" si="1"/>
        <v>30</v>
      </c>
    </row>
    <row r="8">
      <c r="B8" s="2">
        <f t="shared" si="2"/>
        <v>5</v>
      </c>
      <c r="C8" s="2" t="s">
        <v>4</v>
      </c>
      <c r="D8" s="3">
        <f t="shared" si="3"/>
        <v>7</v>
      </c>
      <c r="E8" s="3">
        <f t="shared" si="1"/>
        <v>35</v>
      </c>
    </row>
    <row r="9">
      <c r="B9" s="2">
        <f t="shared" si="2"/>
        <v>5</v>
      </c>
      <c r="C9" s="2" t="s">
        <v>4</v>
      </c>
      <c r="D9" s="3">
        <f t="shared" si="3"/>
        <v>8</v>
      </c>
      <c r="E9" s="3">
        <f t="shared" si="1"/>
        <v>40</v>
      </c>
    </row>
    <row r="10">
      <c r="B10" s="2">
        <f t="shared" si="2"/>
        <v>5</v>
      </c>
      <c r="C10" s="2" t="s">
        <v>4</v>
      </c>
      <c r="D10" s="3">
        <f t="shared" si="3"/>
        <v>9</v>
      </c>
      <c r="E10" s="3">
        <f t="shared" si="1"/>
        <v>45</v>
      </c>
    </row>
    <row r="11">
      <c r="B11" s="2">
        <f t="shared" si="2"/>
        <v>5</v>
      </c>
      <c r="C11" s="2" t="s">
        <v>4</v>
      </c>
      <c r="D11" s="3">
        <f t="shared" si="3"/>
        <v>10</v>
      </c>
      <c r="E11" s="3">
        <f t="shared" si="1"/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4" t="s">
        <v>5</v>
      </c>
      <c r="D1" s="4" t="s">
        <v>6</v>
      </c>
      <c r="E1" s="4" t="s">
        <v>7</v>
      </c>
      <c r="G1" s="5" t="s">
        <v>8</v>
      </c>
    </row>
    <row r="2">
      <c r="B2" s="4" t="s">
        <v>9</v>
      </c>
      <c r="C2" s="2">
        <v>160.0</v>
      </c>
      <c r="D2" s="2">
        <v>147.0</v>
      </c>
      <c r="E2" s="2">
        <v>138.0</v>
      </c>
      <c r="G2" s="3">
        <f t="shared" ref="G2:G6" si="1">SUM(C2:E2)</f>
        <v>445</v>
      </c>
    </row>
    <row r="3">
      <c r="B3" s="4" t="s">
        <v>10</v>
      </c>
      <c r="C3" s="2">
        <v>80.0</v>
      </c>
      <c r="D3" s="2">
        <v>85.0</v>
      </c>
      <c r="E3" s="2">
        <v>78.29</v>
      </c>
      <c r="G3" s="3">
        <f t="shared" si="1"/>
        <v>243.29</v>
      </c>
    </row>
    <row r="4">
      <c r="B4" s="4" t="s">
        <v>11</v>
      </c>
      <c r="C4" s="2">
        <v>45.0</v>
      </c>
      <c r="D4" s="2">
        <v>53.0</v>
      </c>
      <c r="E4" s="2">
        <v>50.0</v>
      </c>
      <c r="G4" s="3">
        <f t="shared" si="1"/>
        <v>148</v>
      </c>
    </row>
    <row r="5">
      <c r="B5" s="4" t="s">
        <v>12</v>
      </c>
      <c r="C5" s="2">
        <v>300.0</v>
      </c>
      <c r="D5" s="2">
        <v>289.0</v>
      </c>
      <c r="E5" s="2">
        <v>235.79</v>
      </c>
      <c r="G5" s="3">
        <f t="shared" si="1"/>
        <v>824.79</v>
      </c>
    </row>
    <row r="6">
      <c r="B6" s="4" t="s">
        <v>13</v>
      </c>
      <c r="C6" s="2">
        <v>30.0</v>
      </c>
      <c r="D6" s="2">
        <v>30.0</v>
      </c>
      <c r="E6" s="2">
        <v>30.0</v>
      </c>
      <c r="G6" s="3">
        <f t="shared" si="1"/>
        <v>90</v>
      </c>
    </row>
    <row r="8">
      <c r="B8" s="4" t="s">
        <v>14</v>
      </c>
      <c r="C8" s="3">
        <f t="shared" ref="C8:E8" si="2">SUM(C2:C6)</f>
        <v>615</v>
      </c>
      <c r="D8" s="3">
        <f t="shared" si="2"/>
        <v>604</v>
      </c>
      <c r="E8" s="3">
        <f t="shared" si="2"/>
        <v>532.08</v>
      </c>
      <c r="G8" s="3">
        <f>SUM(C8:E8)</f>
        <v>1751.08</v>
      </c>
    </row>
  </sheetData>
  <conditionalFormatting sqref="G8">
    <cfRule type="cellIs" dxfId="0" priority="1" operator="greaterThan">
      <formula>1000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</cols>
  <sheetData>
    <row r="2">
      <c r="B2" s="6" t="s">
        <v>15</v>
      </c>
      <c r="C2" s="7"/>
      <c r="D2" s="7"/>
    </row>
    <row r="4" ht="22.5" customHeight="1"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</row>
    <row r="5" ht="22.5" customHeight="1">
      <c r="B5" s="9" t="s">
        <v>21</v>
      </c>
      <c r="C5" s="9">
        <v>9.0</v>
      </c>
      <c r="D5" s="9">
        <v>8.5</v>
      </c>
      <c r="E5" s="9">
        <v>9.5</v>
      </c>
      <c r="F5" s="10">
        <f t="shared" ref="F5:F10" si="1">AVERAGE(C5:E5)</f>
        <v>9</v>
      </c>
    </row>
    <row r="6" ht="22.5" customHeight="1">
      <c r="B6" s="9" t="s">
        <v>22</v>
      </c>
      <c r="C6" s="9">
        <v>1.25</v>
      </c>
      <c r="D6" s="9">
        <v>6.0</v>
      </c>
      <c r="E6" s="9">
        <v>8.0</v>
      </c>
      <c r="F6" s="10">
        <f t="shared" si="1"/>
        <v>5.083333333</v>
      </c>
    </row>
    <row r="7" ht="22.5" customHeight="1">
      <c r="B7" s="9" t="s">
        <v>23</v>
      </c>
      <c r="C7" s="9">
        <v>9.75</v>
      </c>
      <c r="D7" s="9">
        <v>5.15</v>
      </c>
      <c r="E7" s="9">
        <v>6.0</v>
      </c>
      <c r="F7" s="10">
        <f t="shared" si="1"/>
        <v>6.966666667</v>
      </c>
    </row>
    <row r="8" ht="22.5" customHeight="1">
      <c r="B8" s="9" t="s">
        <v>24</v>
      </c>
      <c r="C8" s="9">
        <v>5.0</v>
      </c>
      <c r="D8" s="9">
        <v>8.0</v>
      </c>
      <c r="E8" s="9">
        <v>7.0</v>
      </c>
      <c r="F8" s="10">
        <f t="shared" si="1"/>
        <v>6.666666667</v>
      </c>
    </row>
    <row r="9" ht="22.5" customHeight="1">
      <c r="B9" s="9" t="s">
        <v>25</v>
      </c>
      <c r="C9" s="9">
        <v>7.0</v>
      </c>
      <c r="D9" s="9">
        <v>8.25</v>
      </c>
      <c r="E9" s="9">
        <v>7.2</v>
      </c>
      <c r="F9" s="10">
        <f t="shared" si="1"/>
        <v>7.483333333</v>
      </c>
    </row>
    <row r="10" ht="22.5" customHeight="1">
      <c r="B10" s="9" t="s">
        <v>26</v>
      </c>
      <c r="C10" s="9">
        <v>8.0</v>
      </c>
      <c r="D10" s="9">
        <v>9.0</v>
      </c>
      <c r="E10" s="9">
        <v>5.0</v>
      </c>
      <c r="F10" s="10">
        <f t="shared" si="1"/>
        <v>7.333333333</v>
      </c>
    </row>
  </sheetData>
  <conditionalFormatting sqref="B4:F10">
    <cfRule type="cellIs" dxfId="6" priority="1" operator="greaterThanOrEqual">
      <formula>5</formula>
    </cfRule>
  </conditionalFormatting>
  <conditionalFormatting sqref="B4:F10">
    <cfRule type="cellIs" dxfId="0" priority="2" operator="lessThan">
      <formula>5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1" t="s">
        <v>27</v>
      </c>
      <c r="C2" s="12"/>
      <c r="D2" s="11"/>
      <c r="E2" s="12"/>
      <c r="F2" s="12"/>
      <c r="G2" s="12"/>
      <c r="H2" s="12"/>
    </row>
    <row r="3">
      <c r="B3" s="3"/>
      <c r="C3" s="3"/>
      <c r="D3" s="3"/>
      <c r="E3" s="3"/>
      <c r="F3" s="3"/>
      <c r="G3" s="2" t="s">
        <v>28</v>
      </c>
      <c r="H3" s="2">
        <v>0.055</v>
      </c>
    </row>
    <row r="4">
      <c r="B4" s="13" t="s">
        <v>29</v>
      </c>
      <c r="C4" s="13" t="s">
        <v>30</v>
      </c>
      <c r="D4" s="14" t="s">
        <v>31</v>
      </c>
      <c r="E4" s="13" t="s">
        <v>32</v>
      </c>
      <c r="F4" s="15" t="s">
        <v>33</v>
      </c>
      <c r="G4" s="13" t="s">
        <v>34</v>
      </c>
      <c r="H4" s="13" t="s">
        <v>35</v>
      </c>
    </row>
    <row r="5">
      <c r="B5" s="16"/>
      <c r="C5" s="13" t="s">
        <v>36</v>
      </c>
      <c r="D5" s="16"/>
      <c r="E5" s="13" t="s">
        <v>37</v>
      </c>
      <c r="F5" s="17"/>
      <c r="G5" s="13" t="s">
        <v>28</v>
      </c>
      <c r="H5" s="13" t="s">
        <v>38</v>
      </c>
    </row>
    <row r="6">
      <c r="B6" s="2" t="s">
        <v>39</v>
      </c>
      <c r="C6" s="2">
        <v>2000.0</v>
      </c>
      <c r="D6" s="2">
        <v>2.0</v>
      </c>
      <c r="E6" s="18">
        <f t="shared" ref="E6:E11" si="1">C6/1000</f>
        <v>2</v>
      </c>
      <c r="F6" s="18">
        <f t="shared" ref="F6:F11" si="2">D6*30</f>
        <v>60</v>
      </c>
      <c r="G6" s="18">
        <f t="shared" ref="G6:G11" si="3">E6*F6</f>
        <v>120</v>
      </c>
      <c r="H6" s="18">
        <f>H3*G6</f>
        <v>6.6</v>
      </c>
    </row>
    <row r="7">
      <c r="B7" s="2" t="s">
        <v>40</v>
      </c>
      <c r="C7" s="2">
        <v>150.0</v>
      </c>
      <c r="D7" s="2">
        <v>5.0</v>
      </c>
      <c r="E7" s="18">
        <f t="shared" si="1"/>
        <v>0.15</v>
      </c>
      <c r="F7" s="18">
        <f t="shared" si="2"/>
        <v>150</v>
      </c>
      <c r="G7" s="18">
        <f t="shared" si="3"/>
        <v>22.5</v>
      </c>
      <c r="H7" s="18">
        <f>H3*G7</f>
        <v>1.2375</v>
      </c>
    </row>
    <row r="8">
      <c r="B8" s="2" t="s">
        <v>41</v>
      </c>
      <c r="C8" s="2">
        <v>300.0</v>
      </c>
      <c r="D8" s="2">
        <v>4.0</v>
      </c>
      <c r="E8" s="18">
        <f t="shared" si="1"/>
        <v>0.3</v>
      </c>
      <c r="F8" s="18">
        <f t="shared" si="2"/>
        <v>120</v>
      </c>
      <c r="G8" s="18">
        <f t="shared" si="3"/>
        <v>36</v>
      </c>
      <c r="H8" s="18">
        <f>H3*G8</f>
        <v>1.98</v>
      </c>
    </row>
    <row r="9">
      <c r="B9" s="2" t="s">
        <v>42</v>
      </c>
      <c r="C9" s="2">
        <v>1800.0</v>
      </c>
      <c r="D9" s="2">
        <v>1.5</v>
      </c>
      <c r="E9" s="18">
        <f t="shared" si="1"/>
        <v>1.8</v>
      </c>
      <c r="F9" s="18">
        <f t="shared" si="2"/>
        <v>45</v>
      </c>
      <c r="G9" s="18">
        <f t="shared" si="3"/>
        <v>81</v>
      </c>
      <c r="H9" s="18">
        <f t="shared" ref="H9:H11" si="4">H6*G9</f>
        <v>534.6</v>
      </c>
    </row>
    <row r="10">
      <c r="B10" s="2" t="s">
        <v>43</v>
      </c>
      <c r="C10" s="2">
        <v>500.0</v>
      </c>
      <c r="D10" s="2">
        <v>1.0</v>
      </c>
      <c r="E10" s="18">
        <f t="shared" si="1"/>
        <v>0.5</v>
      </c>
      <c r="F10" s="18">
        <f t="shared" si="2"/>
        <v>30</v>
      </c>
      <c r="G10" s="18">
        <f t="shared" si="3"/>
        <v>15</v>
      </c>
      <c r="H10" s="18">
        <f t="shared" si="4"/>
        <v>18.5625</v>
      </c>
    </row>
    <row r="11">
      <c r="B11" s="2" t="s">
        <v>44</v>
      </c>
      <c r="C11" s="2">
        <v>250.0</v>
      </c>
      <c r="D11" s="2">
        <v>4.0</v>
      </c>
      <c r="E11" s="18">
        <f t="shared" si="1"/>
        <v>0.25</v>
      </c>
      <c r="F11" s="18">
        <f t="shared" si="2"/>
        <v>120</v>
      </c>
      <c r="G11" s="18">
        <f t="shared" si="3"/>
        <v>30</v>
      </c>
      <c r="H11" s="18">
        <f t="shared" si="4"/>
        <v>59.4</v>
      </c>
    </row>
    <row r="13">
      <c r="G13" s="19" t="s">
        <v>45</v>
      </c>
      <c r="H13" s="20">
        <f>SUM(H5:H11)</f>
        <v>622.38</v>
      </c>
    </row>
    <row r="15">
      <c r="G15" s="19" t="s">
        <v>46</v>
      </c>
      <c r="H15" s="20">
        <f>H13*0.16</f>
        <v>99.5808</v>
      </c>
    </row>
    <row r="17">
      <c r="F17" s="19" t="s">
        <v>47</v>
      </c>
      <c r="G17" s="19"/>
      <c r="H17" s="20">
        <f>H13+H15</f>
        <v>721.9608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1" t="s">
        <v>48</v>
      </c>
      <c r="C2" s="22"/>
      <c r="D2" s="22"/>
      <c r="E2" s="22"/>
    </row>
    <row r="3">
      <c r="B3" s="23" t="s">
        <v>49</v>
      </c>
      <c r="C3" s="24"/>
    </row>
    <row r="5">
      <c r="B5" s="25" t="s">
        <v>50</v>
      </c>
      <c r="C5" s="25" t="s">
        <v>51</v>
      </c>
      <c r="D5" s="26" t="s">
        <v>52</v>
      </c>
      <c r="E5" s="26" t="s">
        <v>53</v>
      </c>
      <c r="F5" s="25" t="s">
        <v>54</v>
      </c>
      <c r="G5" s="26" t="s">
        <v>55</v>
      </c>
    </row>
    <row r="6">
      <c r="B6" s="2" t="s">
        <v>56</v>
      </c>
      <c r="C6" s="2">
        <v>65000.0</v>
      </c>
      <c r="D6" s="27">
        <v>45000.0</v>
      </c>
      <c r="E6" s="28">
        <f t="shared" ref="E6:E11" si="1">D6*100/C6</f>
        <v>69.23076923</v>
      </c>
      <c r="F6" s="28">
        <f t="shared" ref="F6:F11" si="2">C6-D6</f>
        <v>20000</v>
      </c>
      <c r="G6" s="28" t="str">
        <f t="shared" ref="G6:G11" si="3">IF(E6&gt;60,"SI","NO")</f>
        <v>SI</v>
      </c>
    </row>
    <row r="7">
      <c r="B7" s="2" t="s">
        <v>57</v>
      </c>
      <c r="C7" s="2">
        <v>57000.0</v>
      </c>
      <c r="D7" s="27">
        <v>49000.0</v>
      </c>
      <c r="E7" s="28">
        <f t="shared" si="1"/>
        <v>85.96491228</v>
      </c>
      <c r="F7" s="28">
        <f t="shared" si="2"/>
        <v>8000</v>
      </c>
      <c r="G7" s="28" t="str">
        <f t="shared" si="3"/>
        <v>SI</v>
      </c>
    </row>
    <row r="8">
      <c r="B8" s="2" t="s">
        <v>58</v>
      </c>
      <c r="C8" s="2">
        <v>45000.0</v>
      </c>
      <c r="D8" s="27">
        <v>28000.0</v>
      </c>
      <c r="E8" s="28">
        <f t="shared" si="1"/>
        <v>62.22222222</v>
      </c>
      <c r="F8" s="28">
        <f t="shared" si="2"/>
        <v>17000</v>
      </c>
      <c r="G8" s="28" t="str">
        <f t="shared" si="3"/>
        <v>SI</v>
      </c>
    </row>
    <row r="9">
      <c r="B9" s="2" t="s">
        <v>59</v>
      </c>
      <c r="C9" s="2">
        <v>30000.0</v>
      </c>
      <c r="D9" s="27">
        <v>15500.0</v>
      </c>
      <c r="E9" s="28">
        <f t="shared" si="1"/>
        <v>51.66666667</v>
      </c>
      <c r="F9" s="28">
        <f t="shared" si="2"/>
        <v>14500</v>
      </c>
      <c r="G9" s="28" t="str">
        <f t="shared" si="3"/>
        <v>NO</v>
      </c>
    </row>
    <row r="10">
      <c r="B10" s="2" t="s">
        <v>60</v>
      </c>
      <c r="C10" s="2">
        <v>25000.0</v>
      </c>
      <c r="D10" s="27">
        <v>18000.0</v>
      </c>
      <c r="E10" s="28">
        <f t="shared" si="1"/>
        <v>72</v>
      </c>
      <c r="F10" s="28">
        <f t="shared" si="2"/>
        <v>7000</v>
      </c>
      <c r="G10" s="28" t="str">
        <f t="shared" si="3"/>
        <v>SI</v>
      </c>
    </row>
    <row r="11">
      <c r="B11" s="2" t="s">
        <v>61</v>
      </c>
      <c r="C11" s="2">
        <v>20000.0</v>
      </c>
      <c r="D11" s="27">
        <v>8000.0</v>
      </c>
      <c r="E11" s="28">
        <f t="shared" si="1"/>
        <v>40</v>
      </c>
      <c r="F11" s="28">
        <f t="shared" si="2"/>
        <v>12000</v>
      </c>
      <c r="G11" s="28" t="str">
        <f t="shared" si="3"/>
        <v>NO</v>
      </c>
    </row>
    <row r="13">
      <c r="E13" s="29" t="s">
        <v>62</v>
      </c>
      <c r="G13" s="30">
        <f>COUNTIF(G6:G11,"SI")</f>
        <v>4</v>
      </c>
    </row>
    <row r="14">
      <c r="E14" s="29" t="s">
        <v>63</v>
      </c>
      <c r="G14" s="30">
        <f>COUNTIF(G6:G11,"NO")</f>
        <v>2</v>
      </c>
    </row>
    <row r="16">
      <c r="E16" s="29" t="s">
        <v>64</v>
      </c>
      <c r="G16" s="30" t="str">
        <f>IF(G13&gt;3,"SI","NO")</f>
        <v>SI</v>
      </c>
    </row>
  </sheetData>
  <drawing r:id="rId1"/>
</worksheet>
</file>
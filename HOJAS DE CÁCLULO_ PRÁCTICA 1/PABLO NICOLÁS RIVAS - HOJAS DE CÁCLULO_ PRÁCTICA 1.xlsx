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 1" sheetId="1" r:id="rId5"/>
    <sheet state="visible" name="ACT 2" sheetId="2" r:id="rId6"/>
    <sheet state="visible" name="ACT 3" sheetId="3" r:id="rId7"/>
    <sheet state="visible" name="ACT 4" sheetId="4" r:id="rId8"/>
  </sheets>
  <definedNames/>
  <calcPr/>
</workbook>
</file>

<file path=xl/sharedStrings.xml><?xml version="1.0" encoding="utf-8"?>
<sst xmlns="http://schemas.openxmlformats.org/spreadsheetml/2006/main" count="53" uniqueCount="44">
  <si>
    <t>TABLA</t>
  </si>
  <si>
    <t>OPERACION</t>
  </si>
  <si>
    <t>NUMERO</t>
  </si>
  <si>
    <t>RESULTADO</t>
  </si>
  <si>
    <t>x</t>
  </si>
  <si>
    <t xml:space="preserve"> </t>
  </si>
  <si>
    <t>ENERO</t>
  </si>
  <si>
    <t>FEBRERO</t>
  </si>
  <si>
    <t>MARZO</t>
  </si>
  <si>
    <t>1º TRIMESTRE</t>
  </si>
  <si>
    <t>GIMNASIO</t>
  </si>
  <si>
    <t>COMIDA</t>
  </si>
  <si>
    <t>OCIO</t>
  </si>
  <si>
    <t>AGUA</t>
  </si>
  <si>
    <t>ELECTRICIDAD</t>
  </si>
  <si>
    <t>TOTAL</t>
  </si>
  <si>
    <t>alumnos</t>
  </si>
  <si>
    <t>notas 1º</t>
  </si>
  <si>
    <t>notas 2º</t>
  </si>
  <si>
    <t>notas 3º</t>
  </si>
  <si>
    <t>notas medias</t>
  </si>
  <si>
    <t>emilio</t>
  </si>
  <si>
    <t>sergio</t>
  </si>
  <si>
    <t>estela</t>
  </si>
  <si>
    <t>juan mariano</t>
  </si>
  <si>
    <t>estiven</t>
  </si>
  <si>
    <t>izan</t>
  </si>
  <si>
    <t>APARATO</t>
  </si>
  <si>
    <t>POTENCIA WATIOS</t>
  </si>
  <si>
    <t>HORA DE FUNCIONAMIENTO</t>
  </si>
  <si>
    <t>POTENCIA KW</t>
  </si>
  <si>
    <t>HORAS MENSUALES</t>
  </si>
  <si>
    <t>ENERGIA KW/H</t>
  </si>
  <si>
    <t>COSTE</t>
  </si>
  <si>
    <t>Lavadora</t>
  </si>
  <si>
    <t>Television</t>
  </si>
  <si>
    <t>Frigorifico</t>
  </si>
  <si>
    <t>Lavavajillas</t>
  </si>
  <si>
    <t>Iluminacion</t>
  </si>
  <si>
    <t>Plancha</t>
  </si>
  <si>
    <t>Ordenador</t>
  </si>
  <si>
    <t>total</t>
  </si>
  <si>
    <t>IVA 16%</t>
  </si>
  <si>
    <t>total con 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</si>
</sst>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1" numFmtId="0" xfId="0" applyBorder="1" applyFont="1"/>
    <xf borderId="1" fillId="4" fontId="1" numFmtId="0" xfId="0" applyAlignment="1" applyBorder="1" applyFill="1" applyFont="1">
      <alignment readingOrder="0"/>
    </xf>
    <xf borderId="1" fillId="5" fontId="1" numFmtId="0" xfId="0" applyBorder="1" applyFill="1" applyFont="1"/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6" fontId="1" numFmtId="0" xfId="0" applyAlignment="1" applyBorder="1" applyFill="1" applyFont="1">
      <alignment readingOrder="0" shrinkToFit="0" vertical="center" wrapText="0"/>
    </xf>
    <xf borderId="1" fillId="6" fontId="1" numFmtId="0" xfId="0" applyAlignment="1" applyBorder="1" applyFont="1">
      <alignment readingOrder="0" shrinkToFit="0" vertical="center" wrapText="0"/>
    </xf>
    <xf borderId="1" fillId="6" fontId="1" numFmtId="0" xfId="0" applyAlignment="1" applyBorder="1" applyFont="1">
      <alignment shrinkToFit="0" vertical="center" wrapText="0"/>
    </xf>
    <xf borderId="1" fillId="7" fontId="1" numFmtId="0" xfId="0" applyAlignment="1" applyBorder="1" applyFill="1" applyFont="1">
      <alignment readingOrder="0"/>
    </xf>
    <xf borderId="1" fillId="7" fontId="1" numFmtId="0" xfId="0" applyAlignment="1" applyBorder="1" applyFont="1">
      <alignment readingOrder="0" shrinkToFit="0" wrapText="1"/>
    </xf>
    <xf borderId="1" fillId="0" fontId="1" numFmtId="0" xfId="0" applyBorder="1" applyFont="1"/>
    <xf borderId="1" fillId="8" fontId="1" numFmtId="0" xfId="0" applyAlignment="1" applyBorder="1" applyFill="1" applyFont="1">
      <alignment readingOrder="0"/>
    </xf>
  </cellXfs>
  <cellStyles count="1">
    <cellStyle xfId="0" name="Normal" builtinId="0"/>
  </cellStyles>
  <dxfs count="7">
    <dxf>
      <font/>
      <fill>
        <patternFill patternType="solid">
          <fgColor theme="5"/>
          <bgColor theme="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ACT 3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F7" displayName="notas_de_mis_compañeros" name="notas_de_mis_compañeros" id="1">
  <tableColumns count="5">
    <tableColumn name="alumnos" id="1"/>
    <tableColumn name="notas 1º" id="2"/>
    <tableColumn name="notas 2º" id="3"/>
    <tableColumn name="notas 3º" id="4"/>
    <tableColumn name="notas medias" id="5"/>
  </tableColumns>
  <tableStyleInfo name="ACT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2">
        <v>1.0</v>
      </c>
      <c r="C2" s="2" t="s">
        <v>4</v>
      </c>
      <c r="D2" s="2">
        <v>5.0</v>
      </c>
      <c r="E2" s="2">
        <f t="shared" ref="E2:E11" si="1">B2*D2</f>
        <v>5</v>
      </c>
    </row>
    <row r="3">
      <c r="B3" s="2">
        <f t="shared" ref="B3:B11" si="2">B2+1</f>
        <v>2</v>
      </c>
      <c r="C3" s="2" t="s">
        <v>4</v>
      </c>
      <c r="D3" s="2">
        <v>5.0</v>
      </c>
      <c r="E3" s="2">
        <f t="shared" si="1"/>
        <v>10</v>
      </c>
    </row>
    <row r="4">
      <c r="B4" s="2">
        <f t="shared" si="2"/>
        <v>3</v>
      </c>
      <c r="C4" s="2" t="s">
        <v>4</v>
      </c>
      <c r="D4" s="2">
        <v>5.0</v>
      </c>
      <c r="E4" s="2">
        <f t="shared" si="1"/>
        <v>15</v>
      </c>
    </row>
    <row r="5">
      <c r="B5" s="2">
        <f t="shared" si="2"/>
        <v>4</v>
      </c>
      <c r="C5" s="2" t="s">
        <v>4</v>
      </c>
      <c r="D5" s="2">
        <v>5.0</v>
      </c>
      <c r="E5" s="2">
        <f t="shared" si="1"/>
        <v>20</v>
      </c>
    </row>
    <row r="6">
      <c r="B6" s="2">
        <f t="shared" si="2"/>
        <v>5</v>
      </c>
      <c r="C6" s="2" t="s">
        <v>4</v>
      </c>
      <c r="D6" s="2">
        <v>5.0</v>
      </c>
      <c r="E6" s="2">
        <f t="shared" si="1"/>
        <v>25</v>
      </c>
    </row>
    <row r="7">
      <c r="B7" s="2">
        <f t="shared" si="2"/>
        <v>6</v>
      </c>
      <c r="C7" s="2" t="s">
        <v>4</v>
      </c>
      <c r="D7" s="2">
        <v>5.0</v>
      </c>
      <c r="E7" s="2">
        <f t="shared" si="1"/>
        <v>30</v>
      </c>
    </row>
    <row r="8">
      <c r="B8" s="2">
        <f t="shared" si="2"/>
        <v>7</v>
      </c>
      <c r="C8" s="2" t="s">
        <v>4</v>
      </c>
      <c r="D8" s="2">
        <v>5.0</v>
      </c>
      <c r="E8" s="2">
        <f t="shared" si="1"/>
        <v>35</v>
      </c>
    </row>
    <row r="9">
      <c r="B9" s="2">
        <f t="shared" si="2"/>
        <v>8</v>
      </c>
      <c r="C9" s="2" t="s">
        <v>4</v>
      </c>
      <c r="D9" s="2">
        <v>5.0</v>
      </c>
      <c r="E9" s="2">
        <f t="shared" si="1"/>
        <v>40</v>
      </c>
    </row>
    <row r="10">
      <c r="B10" s="2">
        <f t="shared" si="2"/>
        <v>9</v>
      </c>
      <c r="C10" s="2" t="s">
        <v>4</v>
      </c>
      <c r="D10" s="2">
        <v>5.0</v>
      </c>
      <c r="E10" s="2">
        <f t="shared" si="1"/>
        <v>45</v>
      </c>
    </row>
    <row r="11">
      <c r="B11" s="2">
        <f t="shared" si="2"/>
        <v>10</v>
      </c>
      <c r="C11" s="2" t="s">
        <v>4</v>
      </c>
      <c r="D11" s="2">
        <v>5.0</v>
      </c>
      <c r="E11" s="2">
        <f t="shared" si="1"/>
        <v>50</v>
      </c>
    </row>
    <row r="15">
      <c r="E15" s="3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6</v>
      </c>
      <c r="D1" s="1" t="s">
        <v>7</v>
      </c>
      <c r="E1" s="1" t="s">
        <v>8</v>
      </c>
      <c r="G1" s="1" t="s">
        <v>9</v>
      </c>
    </row>
    <row r="2">
      <c r="B2" s="1" t="s">
        <v>10</v>
      </c>
      <c r="C2" s="4">
        <v>40.0</v>
      </c>
      <c r="D2" s="4">
        <v>40.0</v>
      </c>
      <c r="E2" s="4">
        <v>40.0</v>
      </c>
      <c r="G2" s="5">
        <f t="shared" ref="G2:G6" si="1">SUM(C2:E2)</f>
        <v>120</v>
      </c>
    </row>
    <row r="3">
      <c r="B3" s="1" t="s">
        <v>11</v>
      </c>
      <c r="C3" s="4">
        <v>120.8</v>
      </c>
      <c r="D3" s="4">
        <v>138.38</v>
      </c>
      <c r="E3" s="4">
        <v>103.74</v>
      </c>
      <c r="G3" s="5">
        <f t="shared" si="1"/>
        <v>362.92</v>
      </c>
    </row>
    <row r="4">
      <c r="B4" s="1" t="s">
        <v>12</v>
      </c>
      <c r="C4" s="4">
        <v>74.0</v>
      </c>
      <c r="D4" s="4">
        <v>80.95</v>
      </c>
      <c r="E4" s="4">
        <v>69.99</v>
      </c>
      <c r="G4" s="5">
        <f t="shared" si="1"/>
        <v>224.94</v>
      </c>
    </row>
    <row r="5">
      <c r="B5" s="1" t="s">
        <v>13</v>
      </c>
      <c r="C5" s="4">
        <v>150.67</v>
      </c>
      <c r="D5" s="4">
        <v>130.87</v>
      </c>
      <c r="E5" s="4">
        <v>99.98</v>
      </c>
      <c r="G5" s="5">
        <f t="shared" si="1"/>
        <v>381.52</v>
      </c>
    </row>
    <row r="6">
      <c r="B6" s="1" t="s">
        <v>14</v>
      </c>
      <c r="C6" s="4">
        <v>90.98</v>
      </c>
      <c r="D6" s="4">
        <v>79.87</v>
      </c>
      <c r="E6" s="4">
        <v>100.87</v>
      </c>
      <c r="G6" s="5">
        <f t="shared" si="1"/>
        <v>271.72</v>
      </c>
    </row>
    <row r="8">
      <c r="B8" s="6" t="s">
        <v>15</v>
      </c>
      <c r="C8" s="7">
        <f t="shared" ref="C8:E8" si="2">SUM(C2:C6)</f>
        <v>476.45</v>
      </c>
      <c r="D8" s="7">
        <f t="shared" si="2"/>
        <v>470.07</v>
      </c>
      <c r="E8" s="7">
        <f t="shared" si="2"/>
        <v>414.58</v>
      </c>
      <c r="G8" s="7">
        <f>SUM(C8:E8)</f>
        <v>1361.1</v>
      </c>
    </row>
  </sheetData>
  <conditionalFormatting sqref="G8">
    <cfRule type="cellIs" dxfId="0" priority="1" operator="greaterThan">
      <formula>1000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4" max="4" width="15.0"/>
    <col customWidth="1" min="6" max="6" width="15.5"/>
  </cols>
  <sheetData>
    <row r="1" ht="22.5" customHeight="1"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</row>
    <row r="2" ht="22.5" customHeight="1">
      <c r="B2" s="9" t="s">
        <v>21</v>
      </c>
      <c r="C2" s="10">
        <v>7.0</v>
      </c>
      <c r="D2" s="11">
        <v>4.0</v>
      </c>
      <c r="E2" s="10">
        <v>4.5</v>
      </c>
      <c r="F2" s="10">
        <f t="shared" ref="F2:F7" si="1">AVERAGE(C2:E2)</f>
        <v>5.166666667</v>
      </c>
    </row>
    <row r="3" ht="22.5" customHeight="1">
      <c r="B3" s="9" t="s">
        <v>22</v>
      </c>
      <c r="C3" s="10">
        <v>5.0</v>
      </c>
      <c r="D3" s="10">
        <v>4.5</v>
      </c>
      <c r="E3" s="10">
        <v>4.0</v>
      </c>
      <c r="F3" s="12">
        <f t="shared" si="1"/>
        <v>4.5</v>
      </c>
    </row>
    <row r="4" ht="22.5" customHeight="1">
      <c r="B4" s="9" t="s">
        <v>23</v>
      </c>
      <c r="C4" s="10">
        <v>5.7</v>
      </c>
      <c r="D4" s="10">
        <v>7.5</v>
      </c>
      <c r="E4" s="10">
        <v>8.3</v>
      </c>
      <c r="F4" s="12">
        <f t="shared" si="1"/>
        <v>7.166666667</v>
      </c>
    </row>
    <row r="5" ht="22.5" customHeight="1">
      <c r="B5" s="9" t="s">
        <v>24</v>
      </c>
      <c r="C5" s="10">
        <v>7.0</v>
      </c>
      <c r="D5" s="10">
        <v>4.5</v>
      </c>
      <c r="E5" s="10">
        <v>2.25</v>
      </c>
      <c r="F5" s="12">
        <f t="shared" si="1"/>
        <v>4.583333333</v>
      </c>
    </row>
    <row r="6" ht="22.5" customHeight="1">
      <c r="B6" s="9" t="s">
        <v>25</v>
      </c>
      <c r="C6" s="10">
        <v>4.0</v>
      </c>
      <c r="D6" s="10">
        <v>4.7</v>
      </c>
      <c r="E6" s="10">
        <v>9.2</v>
      </c>
      <c r="F6" s="12">
        <f t="shared" si="1"/>
        <v>5.966666667</v>
      </c>
    </row>
    <row r="7" ht="22.5" customHeight="1">
      <c r="B7" s="9" t="s">
        <v>26</v>
      </c>
      <c r="C7" s="10">
        <v>3.1</v>
      </c>
      <c r="D7" s="10">
        <v>7.5</v>
      </c>
      <c r="E7" s="10">
        <v>3.9</v>
      </c>
      <c r="F7" s="12">
        <f t="shared" si="1"/>
        <v>4.833333333</v>
      </c>
    </row>
  </sheetData>
  <conditionalFormatting sqref="C2:F7">
    <cfRule type="cellIs" dxfId="6" priority="1" operator="lessThan">
      <formula>5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D3" s="13" t="s">
        <v>27</v>
      </c>
      <c r="E3" s="14" t="s">
        <v>28</v>
      </c>
      <c r="F3" s="14" t="s">
        <v>29</v>
      </c>
      <c r="G3" s="14" t="s">
        <v>30</v>
      </c>
      <c r="H3" s="14" t="s">
        <v>31</v>
      </c>
      <c r="I3" s="14" t="s">
        <v>32</v>
      </c>
      <c r="J3" s="13" t="s">
        <v>33</v>
      </c>
    </row>
    <row r="4">
      <c r="D4" s="2" t="s">
        <v>34</v>
      </c>
      <c r="E4" s="2">
        <v>2000.0</v>
      </c>
      <c r="F4" s="2">
        <v>2.0</v>
      </c>
      <c r="G4" s="15">
        <f t="shared" ref="G4:G10" si="1">E4/1000</f>
        <v>2</v>
      </c>
      <c r="H4" s="15">
        <f t="shared" ref="H4:H10" si="2">F4*30</f>
        <v>60</v>
      </c>
      <c r="I4" s="15">
        <f t="shared" ref="I4:I10" si="3">G4*H4</f>
        <v>120</v>
      </c>
      <c r="J4" s="15">
        <f t="shared" ref="J4:J10" si="4">0.055*I4</f>
        <v>6.6</v>
      </c>
    </row>
    <row r="5">
      <c r="D5" s="2" t="s">
        <v>35</v>
      </c>
      <c r="E5" s="2">
        <v>150.0</v>
      </c>
      <c r="F5" s="2">
        <v>3.0</v>
      </c>
      <c r="G5" s="15">
        <f t="shared" si="1"/>
        <v>0.15</v>
      </c>
      <c r="H5" s="15">
        <f t="shared" si="2"/>
        <v>90</v>
      </c>
      <c r="I5" s="15">
        <f t="shared" si="3"/>
        <v>13.5</v>
      </c>
      <c r="J5" s="15">
        <f t="shared" si="4"/>
        <v>0.7425</v>
      </c>
    </row>
    <row r="6">
      <c r="D6" s="2" t="s">
        <v>36</v>
      </c>
      <c r="E6" s="2">
        <v>300.0</v>
      </c>
      <c r="F6" s="2">
        <v>24.0</v>
      </c>
      <c r="G6" s="15">
        <f t="shared" si="1"/>
        <v>0.3</v>
      </c>
      <c r="H6" s="15">
        <f t="shared" si="2"/>
        <v>720</v>
      </c>
      <c r="I6" s="15">
        <f t="shared" si="3"/>
        <v>216</v>
      </c>
      <c r="J6" s="15">
        <f t="shared" si="4"/>
        <v>11.88</v>
      </c>
    </row>
    <row r="7">
      <c r="D7" s="2" t="s">
        <v>37</v>
      </c>
      <c r="E7" s="2">
        <v>1800.0</v>
      </c>
      <c r="F7" s="2">
        <v>3.0</v>
      </c>
      <c r="G7" s="15">
        <f t="shared" si="1"/>
        <v>1.8</v>
      </c>
      <c r="H7" s="15">
        <f t="shared" si="2"/>
        <v>90</v>
      </c>
      <c r="I7" s="15">
        <f t="shared" si="3"/>
        <v>162</v>
      </c>
      <c r="J7" s="15">
        <f t="shared" si="4"/>
        <v>8.91</v>
      </c>
    </row>
    <row r="8">
      <c r="D8" s="2" t="s">
        <v>38</v>
      </c>
      <c r="E8" s="2">
        <v>500.0</v>
      </c>
      <c r="F8" s="2">
        <v>6.0</v>
      </c>
      <c r="G8" s="15">
        <f t="shared" si="1"/>
        <v>0.5</v>
      </c>
      <c r="H8" s="15">
        <f t="shared" si="2"/>
        <v>180</v>
      </c>
      <c r="I8" s="15">
        <f t="shared" si="3"/>
        <v>90</v>
      </c>
      <c r="J8" s="15">
        <f t="shared" si="4"/>
        <v>4.95</v>
      </c>
    </row>
    <row r="9">
      <c r="D9" s="2" t="s">
        <v>39</v>
      </c>
      <c r="E9" s="2">
        <v>1100.0</v>
      </c>
      <c r="F9" s="2">
        <v>1.0</v>
      </c>
      <c r="G9" s="15">
        <f t="shared" si="1"/>
        <v>1.1</v>
      </c>
      <c r="H9" s="15">
        <f t="shared" si="2"/>
        <v>30</v>
      </c>
      <c r="I9" s="15">
        <f t="shared" si="3"/>
        <v>33</v>
      </c>
      <c r="J9" s="15">
        <f t="shared" si="4"/>
        <v>1.815</v>
      </c>
    </row>
    <row r="10">
      <c r="D10" s="2" t="s">
        <v>40</v>
      </c>
      <c r="E10" s="2">
        <v>250.0</v>
      </c>
      <c r="F10" s="2">
        <v>7.0</v>
      </c>
      <c r="G10" s="15">
        <f t="shared" si="1"/>
        <v>0.25</v>
      </c>
      <c r="H10" s="15">
        <f t="shared" si="2"/>
        <v>210</v>
      </c>
      <c r="I10" s="15">
        <f t="shared" si="3"/>
        <v>52.5</v>
      </c>
      <c r="J10" s="15">
        <f t="shared" si="4"/>
        <v>2.8875</v>
      </c>
    </row>
    <row r="14">
      <c r="I14" s="16" t="s">
        <v>41</v>
      </c>
      <c r="J14" s="15">
        <f>SUM(J4:J10)</f>
        <v>37.785</v>
      </c>
    </row>
    <row r="16">
      <c r="I16" s="16" t="s">
        <v>42</v>
      </c>
      <c r="J16" s="15">
        <f>J14*0.16</f>
        <v>6.0456</v>
      </c>
    </row>
    <row r="18">
      <c r="I18" s="16" t="s">
        <v>43</v>
      </c>
      <c r="J18" s="2">
        <f>SUM(J14:J16)</f>
        <v>43.8306</v>
      </c>
    </row>
  </sheetData>
  <drawing r:id="rId1"/>
</worksheet>
</file>
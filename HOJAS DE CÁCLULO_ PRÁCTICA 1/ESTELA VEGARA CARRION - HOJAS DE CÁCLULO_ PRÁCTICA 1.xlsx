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 1" sheetId="1" r:id="rId5"/>
    <sheet state="visible" name="ACT 2" sheetId="2" r:id="rId6"/>
    <sheet state="visible" name="ACT 3" sheetId="3" r:id="rId7"/>
    <sheet state="visible" name="ACT 4" sheetId="4" r:id="rId8"/>
    <sheet state="visible" name="ACT 5" sheetId="5" r:id="rId9"/>
  </sheets>
  <definedNames/>
  <calcPr/>
</workbook>
</file>

<file path=xl/sharedStrings.xml><?xml version="1.0" encoding="utf-8"?>
<sst xmlns="http://schemas.openxmlformats.org/spreadsheetml/2006/main" count="58" uniqueCount="57">
  <si>
    <t>NUMERO</t>
  </si>
  <si>
    <t>TABLA</t>
  </si>
  <si>
    <t>OPERACION</t>
  </si>
  <si>
    <t>RESULTADO</t>
  </si>
  <si>
    <t>Tabla del:</t>
  </si>
  <si>
    <t>X</t>
  </si>
  <si>
    <t>ENERO</t>
  </si>
  <si>
    <t>FEBRERO</t>
  </si>
  <si>
    <t>MARZO</t>
  </si>
  <si>
    <t>TOTAL TRIMESTRE</t>
  </si>
  <si>
    <t>COMIDA</t>
  </si>
  <si>
    <t>GIMNASIO</t>
  </si>
  <si>
    <t>OCIO</t>
  </si>
  <si>
    <t>AGUA</t>
  </si>
  <si>
    <t>LUZ</t>
  </si>
  <si>
    <t>TOTAL</t>
  </si>
  <si>
    <t>NOMBRE</t>
  </si>
  <si>
    <t>NOTA 1</t>
  </si>
  <si>
    <t>NOTA 2</t>
  </si>
  <si>
    <t>NOTA 3</t>
  </si>
  <si>
    <t>NOTA MEDIA</t>
  </si>
  <si>
    <t>RUBEN</t>
  </si>
  <si>
    <t>STEVEN</t>
  </si>
  <si>
    <t>HUGO</t>
  </si>
  <si>
    <t>IZAN</t>
  </si>
  <si>
    <t>PABLO</t>
  </si>
  <si>
    <t>ASMA</t>
  </si>
  <si>
    <t>potencia</t>
  </si>
  <si>
    <t>horas de funcion</t>
  </si>
  <si>
    <t>horas mensuales</t>
  </si>
  <si>
    <t>energía</t>
  </si>
  <si>
    <t>coste €</t>
  </si>
  <si>
    <t>lavadora</t>
  </si>
  <si>
    <t>televisor</t>
  </si>
  <si>
    <t>frigorifico</t>
  </si>
  <si>
    <t>lavabajilas</t>
  </si>
  <si>
    <t>iluminación</t>
  </si>
  <si>
    <t>plancha</t>
  </si>
  <si>
    <t>ordenador</t>
  </si>
  <si>
    <t>TOTAL:</t>
  </si>
  <si>
    <t>IVA 16%:</t>
  </si>
  <si>
    <t>TOTAL CON IVA:</t>
  </si>
  <si>
    <t>Localidad</t>
  </si>
  <si>
    <t>Nº de plaza</t>
  </si>
  <si>
    <t>Promedio</t>
  </si>
  <si>
    <t>Porcentaje</t>
  </si>
  <si>
    <t>Diferecia</t>
  </si>
  <si>
    <t>¿Es rentable?</t>
  </si>
  <si>
    <t>Madrid</t>
  </si>
  <si>
    <t>Barcelona</t>
  </si>
  <si>
    <t>Valencia</t>
  </si>
  <si>
    <t>Zaragoza</t>
  </si>
  <si>
    <t>Sevilla</t>
  </si>
  <si>
    <t>Bilbao</t>
  </si>
  <si>
    <t>Nº campos rentables:</t>
  </si>
  <si>
    <t>Nº campos no rentables:</t>
  </si>
  <si>
    <t>¿Es rentable el conjunto?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</si>
</sst>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E89CBF"/>
        <bgColor rgb="FFE89CBF"/>
      </patternFill>
    </fill>
    <fill>
      <patternFill patternType="solid">
        <fgColor rgb="FFB7E1CD"/>
        <bgColor rgb="FFB7E1CD"/>
      </patternFill>
    </fill>
    <fill>
      <patternFill patternType="solid">
        <fgColor rgb="FFF4C7C3"/>
        <bgColor rgb="FFF4C7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Border="1" applyFill="1" applyFont="1"/>
    <xf borderId="1" fillId="7" fontId="1" numFmtId="0" xfId="0" applyBorder="1" applyFill="1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10" fontId="1" numFmtId="0" xfId="0" applyBorder="1" applyFont="1"/>
    <xf borderId="0" fillId="6" fontId="1" numFmtId="0" xfId="0" applyAlignment="1" applyFont="1">
      <alignment readingOrder="0"/>
    </xf>
    <xf borderId="0" fillId="6" fontId="1" numFmtId="0" xfId="0" applyAlignment="1" applyFont="1">
      <alignment readingOrder="0" shrinkToFit="0" wrapText="1"/>
    </xf>
  </cellXfs>
  <cellStyles count="1">
    <cellStyle xfId="0" name="Normal" builtinId="0"/>
  </cellStyles>
  <dxfs count="8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E89CBF"/>
          <bgColor rgb="FFE89CB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E89CBF"/>
        </left>
        <right style="thin">
          <color rgb="FFE89CBF"/>
        </right>
        <top style="thin">
          <color rgb="FFE89CBF"/>
        </top>
        <bottom style="thin">
          <color rgb="FFE89CBF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1">
    <tableStyle count="4" pivot="0" name="ACT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F8" displayName="Tabla_1" name="Tabla_1" id="1">
  <tableColumns count="5">
    <tableColumn name="NOMBRE" id="1"/>
    <tableColumn name="NOTA 1" id="2"/>
    <tableColumn name="NOTA 2" id="3"/>
    <tableColumn name="NOTA 3" id="4"/>
    <tableColumn name="NOTA MEDIA" id="5"/>
  </tableColumns>
  <tableStyleInfo name="ACT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>
        <v>5.0</v>
      </c>
    </row>
    <row r="2">
      <c r="B2" s="4">
        <v>5.0</v>
      </c>
      <c r="C2" s="4" t="s">
        <v>5</v>
      </c>
      <c r="D2" s="4">
        <v>1.0</v>
      </c>
      <c r="E2" s="5">
        <f t="shared" ref="E2:E11" si="1">B2*D2</f>
        <v>5</v>
      </c>
    </row>
    <row r="3">
      <c r="B3" s="4">
        <v>5.0</v>
      </c>
      <c r="C3" s="4" t="str">
        <f>C2</f>
        <v>X</v>
      </c>
      <c r="D3" s="5">
        <f t="shared" ref="D3:D11" si="3">D2+1</f>
        <v>2</v>
      </c>
      <c r="E3" s="5">
        <f t="shared" si="1"/>
        <v>10</v>
      </c>
    </row>
    <row r="4">
      <c r="B4" s="4">
        <f t="shared" ref="B4:C4" si="2">B3</f>
        <v>5</v>
      </c>
      <c r="C4" s="4" t="str">
        <f t="shared" si="2"/>
        <v>X</v>
      </c>
      <c r="D4" s="5">
        <f t="shared" si="3"/>
        <v>3</v>
      </c>
      <c r="E4" s="5">
        <f t="shared" si="1"/>
        <v>15</v>
      </c>
    </row>
    <row r="5">
      <c r="B5" s="4">
        <f t="shared" ref="B5:C5" si="4">B4</f>
        <v>5</v>
      </c>
      <c r="C5" s="4" t="str">
        <f t="shared" si="4"/>
        <v>X</v>
      </c>
      <c r="D5" s="5">
        <f t="shared" si="3"/>
        <v>4</v>
      </c>
      <c r="E5" s="5">
        <f t="shared" si="1"/>
        <v>20</v>
      </c>
    </row>
    <row r="6">
      <c r="B6" s="4">
        <f t="shared" ref="B6:C6" si="5">B5</f>
        <v>5</v>
      </c>
      <c r="C6" s="4" t="str">
        <f t="shared" si="5"/>
        <v>X</v>
      </c>
      <c r="D6" s="5">
        <f t="shared" si="3"/>
        <v>5</v>
      </c>
      <c r="E6" s="5">
        <f t="shared" si="1"/>
        <v>25</v>
      </c>
    </row>
    <row r="7">
      <c r="B7" s="4">
        <f t="shared" ref="B7:C7" si="6">B6</f>
        <v>5</v>
      </c>
      <c r="C7" s="4" t="str">
        <f t="shared" si="6"/>
        <v>X</v>
      </c>
      <c r="D7" s="5">
        <f t="shared" si="3"/>
        <v>6</v>
      </c>
      <c r="E7" s="5">
        <f t="shared" si="1"/>
        <v>30</v>
      </c>
    </row>
    <row r="8">
      <c r="B8" s="4">
        <f t="shared" ref="B8:C8" si="7">B7</f>
        <v>5</v>
      </c>
      <c r="C8" s="4" t="str">
        <f t="shared" si="7"/>
        <v>X</v>
      </c>
      <c r="D8" s="5">
        <f t="shared" si="3"/>
        <v>7</v>
      </c>
      <c r="E8" s="5">
        <f t="shared" si="1"/>
        <v>35</v>
      </c>
    </row>
    <row r="9">
      <c r="B9" s="4">
        <f t="shared" ref="B9:C9" si="8">B8</f>
        <v>5</v>
      </c>
      <c r="C9" s="4" t="str">
        <f t="shared" si="8"/>
        <v>X</v>
      </c>
      <c r="D9" s="5">
        <f t="shared" si="3"/>
        <v>8</v>
      </c>
      <c r="E9" s="5">
        <f t="shared" si="1"/>
        <v>40</v>
      </c>
    </row>
    <row r="10">
      <c r="B10" s="4">
        <f t="shared" ref="B10:C10" si="9">B9</f>
        <v>5</v>
      </c>
      <c r="C10" s="4" t="str">
        <f t="shared" si="9"/>
        <v>X</v>
      </c>
      <c r="D10" s="5">
        <f t="shared" si="3"/>
        <v>9</v>
      </c>
      <c r="E10" s="5">
        <f t="shared" si="1"/>
        <v>45</v>
      </c>
    </row>
    <row r="11">
      <c r="B11" s="4">
        <f t="shared" ref="B11:C11" si="10">B10</f>
        <v>5</v>
      </c>
      <c r="C11" s="4" t="str">
        <f t="shared" si="10"/>
        <v>X</v>
      </c>
      <c r="D11" s="5">
        <f t="shared" si="3"/>
        <v>10</v>
      </c>
      <c r="E11" s="5">
        <f t="shared" si="1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38"/>
  </cols>
  <sheetData>
    <row r="2">
      <c r="B2" s="6" t="s">
        <v>6</v>
      </c>
      <c r="C2" s="6" t="s">
        <v>7</v>
      </c>
      <c r="D2" s="6" t="s">
        <v>8</v>
      </c>
      <c r="F2" s="4" t="s">
        <v>9</v>
      </c>
    </row>
    <row r="3">
      <c r="A3" s="7" t="s">
        <v>10</v>
      </c>
      <c r="B3" s="4">
        <v>254.67</v>
      </c>
      <c r="C3" s="4">
        <v>267.98</v>
      </c>
      <c r="D3" s="4">
        <v>223.34</v>
      </c>
      <c r="F3" s="8">
        <f t="shared" ref="F3:F7" si="1">SUM(B3:D3)</f>
        <v>745.99</v>
      </c>
    </row>
    <row r="4">
      <c r="A4" s="7" t="s">
        <v>11</v>
      </c>
      <c r="B4" s="4">
        <v>40.0</v>
      </c>
      <c r="C4" s="4">
        <v>40.0</v>
      </c>
      <c r="D4" s="4">
        <v>40.0</v>
      </c>
      <c r="F4" s="8">
        <f t="shared" si="1"/>
        <v>120</v>
      </c>
    </row>
    <row r="5">
      <c r="A5" s="7" t="s">
        <v>12</v>
      </c>
      <c r="B5" s="4">
        <v>150.0</v>
      </c>
      <c r="C5" s="4">
        <v>100.0</v>
      </c>
      <c r="D5" s="4">
        <v>150.0</v>
      </c>
      <c r="F5" s="8">
        <f t="shared" si="1"/>
        <v>400</v>
      </c>
    </row>
    <row r="6">
      <c r="A6" s="7" t="s">
        <v>13</v>
      </c>
      <c r="B6" s="4">
        <v>35.0</v>
      </c>
      <c r="C6" s="4">
        <v>35.0</v>
      </c>
      <c r="D6" s="4">
        <v>35.0</v>
      </c>
      <c r="F6" s="8">
        <f t="shared" si="1"/>
        <v>105</v>
      </c>
    </row>
    <row r="7">
      <c r="A7" s="7" t="s">
        <v>14</v>
      </c>
      <c r="B7" s="4">
        <v>80.46</v>
      </c>
      <c r="C7" s="4">
        <v>88.99</v>
      </c>
      <c r="D7" s="4">
        <v>79.85</v>
      </c>
      <c r="F7" s="8">
        <f t="shared" si="1"/>
        <v>249.3</v>
      </c>
    </row>
    <row r="9">
      <c r="A9" s="4" t="s">
        <v>15</v>
      </c>
      <c r="B9" s="9">
        <f t="shared" ref="B9:D9" si="2">SUM(B3:B7)</f>
        <v>560.13</v>
      </c>
      <c r="C9" s="9">
        <f t="shared" si="2"/>
        <v>531.97</v>
      </c>
      <c r="D9" s="9">
        <f t="shared" si="2"/>
        <v>528.19</v>
      </c>
      <c r="F9" s="9">
        <f>SUM(F3:F7)</f>
        <v>1620.29</v>
      </c>
    </row>
  </sheetData>
  <conditionalFormatting sqref="F9">
    <cfRule type="cellIs" dxfId="0" priority="1" operator="greaterThan">
      <formula>1500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2" ht="22.5" customHeight="1">
      <c r="B2" s="10" t="s">
        <v>16</v>
      </c>
      <c r="C2" s="11" t="s">
        <v>17</v>
      </c>
      <c r="D2" s="11" t="s">
        <v>18</v>
      </c>
      <c r="E2" s="11" t="s">
        <v>19</v>
      </c>
      <c r="F2" s="11" t="s">
        <v>20</v>
      </c>
    </row>
    <row r="3" ht="22.5" customHeight="1">
      <c r="B3" s="12" t="s">
        <v>21</v>
      </c>
      <c r="C3" s="13">
        <v>1.5</v>
      </c>
      <c r="D3" s="13">
        <v>3.5</v>
      </c>
      <c r="E3" s="13">
        <v>3.8</v>
      </c>
      <c r="F3" s="14">
        <f t="shared" ref="F3:F8" si="1">AVERAGE(C3:E3)</f>
        <v>2.933333333</v>
      </c>
    </row>
    <row r="4" ht="22.5" customHeight="1">
      <c r="B4" s="12" t="s">
        <v>22</v>
      </c>
      <c r="C4" s="13">
        <v>9.2</v>
      </c>
      <c r="D4" s="13">
        <v>4.0</v>
      </c>
      <c r="E4" s="13">
        <v>4.7</v>
      </c>
      <c r="F4" s="14">
        <f t="shared" si="1"/>
        <v>5.966666667</v>
      </c>
    </row>
    <row r="5" ht="22.5" customHeight="1">
      <c r="B5" s="12" t="s">
        <v>23</v>
      </c>
      <c r="C5" s="13">
        <v>3.37</v>
      </c>
      <c r="D5" s="13">
        <v>9.0</v>
      </c>
      <c r="E5" s="13">
        <v>8.5</v>
      </c>
      <c r="F5" s="14">
        <f t="shared" si="1"/>
        <v>6.956666667</v>
      </c>
    </row>
    <row r="6" ht="22.5" customHeight="1">
      <c r="B6" s="12" t="s">
        <v>24</v>
      </c>
      <c r="C6" s="13">
        <v>5.88</v>
      </c>
      <c r="D6" s="13">
        <v>7.85</v>
      </c>
      <c r="E6" s="13">
        <v>6.33</v>
      </c>
      <c r="F6" s="14">
        <f t="shared" si="1"/>
        <v>6.686666667</v>
      </c>
    </row>
    <row r="7" ht="22.5" customHeight="1">
      <c r="B7" s="12" t="s">
        <v>25</v>
      </c>
      <c r="C7" s="13">
        <v>6.0</v>
      </c>
      <c r="D7" s="13">
        <v>7.0</v>
      </c>
      <c r="E7" s="13">
        <v>8.25</v>
      </c>
      <c r="F7" s="14">
        <f t="shared" si="1"/>
        <v>7.083333333</v>
      </c>
    </row>
    <row r="8" ht="22.5" customHeight="1">
      <c r="B8" s="12" t="s">
        <v>26</v>
      </c>
      <c r="C8" s="13">
        <v>1.25</v>
      </c>
      <c r="D8" s="13">
        <v>6.0</v>
      </c>
      <c r="E8" s="13">
        <v>8.0</v>
      </c>
      <c r="F8" s="14">
        <f t="shared" si="1"/>
        <v>5.083333333</v>
      </c>
    </row>
  </sheetData>
  <conditionalFormatting sqref="C3:F8">
    <cfRule type="cellIs" dxfId="6" priority="1" operator="greaterThan">
      <formula>5</formula>
    </cfRule>
  </conditionalFormatting>
  <conditionalFormatting sqref="C3:F8">
    <cfRule type="cellIs" dxfId="7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38"/>
    <col customWidth="1" min="6" max="6" width="14.0"/>
    <col customWidth="1" min="8" max="8" width="13.88"/>
  </cols>
  <sheetData>
    <row r="2">
      <c r="B2" s="5"/>
      <c r="C2" s="15" t="s">
        <v>27</v>
      </c>
      <c r="D2" s="15" t="s">
        <v>28</v>
      </c>
      <c r="E2" s="15" t="s">
        <v>27</v>
      </c>
      <c r="F2" s="15" t="s">
        <v>29</v>
      </c>
      <c r="G2" s="15" t="s">
        <v>30</v>
      </c>
      <c r="H2" s="15" t="s">
        <v>31</v>
      </c>
    </row>
    <row r="3">
      <c r="B3" s="16" t="s">
        <v>32</v>
      </c>
      <c r="C3" s="4">
        <v>2000.0</v>
      </c>
      <c r="D3" s="4">
        <v>2.0</v>
      </c>
      <c r="E3" s="4">
        <f t="shared" ref="E3:E9" si="1">C3/1000</f>
        <v>2</v>
      </c>
      <c r="F3" s="4">
        <f t="shared" ref="F3:F9" si="2">D3*30</f>
        <v>60</v>
      </c>
      <c r="G3" s="5">
        <f t="shared" ref="G3:G9" si="3">E3*F3</f>
        <v>120</v>
      </c>
      <c r="H3" s="5">
        <f t="shared" ref="H3:H9" si="4">0.055*G3</f>
        <v>6.6</v>
      </c>
    </row>
    <row r="4">
      <c r="B4" s="16" t="s">
        <v>33</v>
      </c>
      <c r="C4" s="4">
        <v>150.0</v>
      </c>
      <c r="D4" s="4">
        <v>5.0</v>
      </c>
      <c r="E4" s="4">
        <f t="shared" si="1"/>
        <v>0.15</v>
      </c>
      <c r="F4" s="4">
        <f t="shared" si="2"/>
        <v>150</v>
      </c>
      <c r="G4" s="5">
        <f t="shared" si="3"/>
        <v>22.5</v>
      </c>
      <c r="H4" s="5">
        <f t="shared" si="4"/>
        <v>1.2375</v>
      </c>
    </row>
    <row r="5">
      <c r="B5" s="16" t="s">
        <v>34</v>
      </c>
      <c r="C5" s="4">
        <v>300.0</v>
      </c>
      <c r="D5" s="4">
        <v>4.0</v>
      </c>
      <c r="E5" s="4">
        <f t="shared" si="1"/>
        <v>0.3</v>
      </c>
      <c r="F5" s="4">
        <f t="shared" si="2"/>
        <v>120</v>
      </c>
      <c r="G5" s="5">
        <f t="shared" si="3"/>
        <v>36</v>
      </c>
      <c r="H5" s="5">
        <f t="shared" si="4"/>
        <v>1.98</v>
      </c>
    </row>
    <row r="6">
      <c r="B6" s="16" t="s">
        <v>35</v>
      </c>
      <c r="C6" s="4">
        <v>1800.0</v>
      </c>
      <c r="D6" s="4">
        <v>1.5</v>
      </c>
      <c r="E6" s="4">
        <f t="shared" si="1"/>
        <v>1.8</v>
      </c>
      <c r="F6" s="4">
        <f t="shared" si="2"/>
        <v>45</v>
      </c>
      <c r="G6" s="5">
        <f t="shared" si="3"/>
        <v>81</v>
      </c>
      <c r="H6" s="5">
        <f t="shared" si="4"/>
        <v>4.455</v>
      </c>
    </row>
    <row r="7">
      <c r="B7" s="16" t="s">
        <v>36</v>
      </c>
      <c r="C7" s="4">
        <v>500.0</v>
      </c>
      <c r="D7" s="4">
        <v>5.0</v>
      </c>
      <c r="E7" s="4">
        <f t="shared" si="1"/>
        <v>0.5</v>
      </c>
      <c r="F7" s="4">
        <f t="shared" si="2"/>
        <v>150</v>
      </c>
      <c r="G7" s="5">
        <f t="shared" si="3"/>
        <v>75</v>
      </c>
      <c r="H7" s="5">
        <f t="shared" si="4"/>
        <v>4.125</v>
      </c>
    </row>
    <row r="8">
      <c r="B8" s="16" t="s">
        <v>37</v>
      </c>
      <c r="C8" s="4">
        <v>1100.0</v>
      </c>
      <c r="D8" s="4">
        <v>1.0</v>
      </c>
      <c r="E8" s="4">
        <f t="shared" si="1"/>
        <v>1.1</v>
      </c>
      <c r="F8" s="4">
        <f t="shared" si="2"/>
        <v>30</v>
      </c>
      <c r="G8" s="5">
        <f t="shared" si="3"/>
        <v>33</v>
      </c>
      <c r="H8" s="5">
        <f t="shared" si="4"/>
        <v>1.815</v>
      </c>
    </row>
    <row r="9">
      <c r="B9" s="16" t="s">
        <v>38</v>
      </c>
      <c r="C9" s="4">
        <v>250.0</v>
      </c>
      <c r="D9" s="4">
        <v>4.0</v>
      </c>
      <c r="E9" s="4">
        <f t="shared" si="1"/>
        <v>0.25</v>
      </c>
      <c r="F9" s="4">
        <f t="shared" si="2"/>
        <v>120</v>
      </c>
      <c r="G9" s="5">
        <f t="shared" si="3"/>
        <v>30</v>
      </c>
      <c r="H9" s="5">
        <f t="shared" si="4"/>
        <v>1.65</v>
      </c>
    </row>
    <row r="11">
      <c r="H11" s="17" t="s">
        <v>39</v>
      </c>
      <c r="I11" s="18">
        <f>SUM(H3:H9)</f>
        <v>21.8625</v>
      </c>
    </row>
    <row r="13">
      <c r="H13" s="17" t="s">
        <v>40</v>
      </c>
      <c r="I13" s="18">
        <f>I11*0.16</f>
        <v>3.498</v>
      </c>
    </row>
    <row r="15">
      <c r="H15" s="17" t="s">
        <v>41</v>
      </c>
      <c r="I15" s="18">
        <f>SUM(I11:I13)</f>
        <v>25.3605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0"/>
    <col customWidth="1" min="5" max="5" width="10.63"/>
    <col customWidth="1" min="6" max="6" width="18.5"/>
  </cols>
  <sheetData>
    <row r="2">
      <c r="B2" s="16" t="s">
        <v>42</v>
      </c>
      <c r="C2" s="16" t="s">
        <v>43</v>
      </c>
      <c r="D2" s="16" t="s">
        <v>44</v>
      </c>
      <c r="E2" s="16" t="s">
        <v>45</v>
      </c>
      <c r="F2" s="16" t="s">
        <v>46</v>
      </c>
      <c r="G2" s="16" t="s">
        <v>47</v>
      </c>
    </row>
    <row r="3">
      <c r="B3" s="17" t="s">
        <v>48</v>
      </c>
      <c r="C3" s="4">
        <v>65000.0</v>
      </c>
      <c r="D3" s="4">
        <v>30000.0</v>
      </c>
      <c r="E3" s="5">
        <f t="shared" ref="E3:E8" si="1">D3*100/C3</f>
        <v>46.15384615</v>
      </c>
      <c r="F3" s="5">
        <f t="shared" ref="F3:F8" si="2">C3-D3</f>
        <v>35000</v>
      </c>
      <c r="G3" s="4" t="str">
        <f t="shared" ref="G3:G8" si="3">IF(E3&gt;60,"si","no")</f>
        <v>no</v>
      </c>
    </row>
    <row r="4">
      <c r="B4" s="17" t="s">
        <v>49</v>
      </c>
      <c r="C4" s="4">
        <v>57000.0</v>
      </c>
      <c r="D4" s="4">
        <v>2000.0</v>
      </c>
      <c r="E4" s="5">
        <f t="shared" si="1"/>
        <v>3.50877193</v>
      </c>
      <c r="F4" s="5">
        <f t="shared" si="2"/>
        <v>55000</v>
      </c>
      <c r="G4" s="4" t="str">
        <f t="shared" si="3"/>
        <v>no</v>
      </c>
    </row>
    <row r="5">
      <c r="B5" s="17" t="s">
        <v>50</v>
      </c>
      <c r="C5" s="4">
        <v>45000.0</v>
      </c>
      <c r="D5" s="4">
        <v>1500.0</v>
      </c>
      <c r="E5" s="5">
        <f t="shared" si="1"/>
        <v>3.333333333</v>
      </c>
      <c r="F5" s="5">
        <f t="shared" si="2"/>
        <v>43500</v>
      </c>
      <c r="G5" s="4" t="str">
        <f t="shared" si="3"/>
        <v>no</v>
      </c>
    </row>
    <row r="6">
      <c r="B6" s="17" t="s">
        <v>51</v>
      </c>
      <c r="C6" s="4">
        <v>30000.0</v>
      </c>
      <c r="D6" s="4">
        <v>18600.0</v>
      </c>
      <c r="E6" s="5">
        <f t="shared" si="1"/>
        <v>62</v>
      </c>
      <c r="F6" s="5">
        <f t="shared" si="2"/>
        <v>11400</v>
      </c>
      <c r="G6" s="4" t="str">
        <f t="shared" si="3"/>
        <v>si</v>
      </c>
    </row>
    <row r="7">
      <c r="B7" s="17" t="s">
        <v>52</v>
      </c>
      <c r="C7" s="4">
        <v>25000.0</v>
      </c>
      <c r="D7" s="4">
        <v>18963.0</v>
      </c>
      <c r="E7" s="5">
        <f t="shared" si="1"/>
        <v>75.852</v>
      </c>
      <c r="F7" s="5">
        <f t="shared" si="2"/>
        <v>6037</v>
      </c>
      <c r="G7" s="4" t="str">
        <f t="shared" si="3"/>
        <v>si</v>
      </c>
    </row>
    <row r="8">
      <c r="B8" s="17" t="s">
        <v>53</v>
      </c>
      <c r="C8" s="4">
        <v>20000.0</v>
      </c>
      <c r="D8" s="4">
        <v>10000.0</v>
      </c>
      <c r="E8" s="5">
        <f t="shared" si="1"/>
        <v>50</v>
      </c>
      <c r="F8" s="5">
        <f t="shared" si="2"/>
        <v>10000</v>
      </c>
      <c r="G8" s="4" t="str">
        <f t="shared" si="3"/>
        <v>no</v>
      </c>
    </row>
    <row r="10">
      <c r="F10" s="19" t="s">
        <v>54</v>
      </c>
      <c r="G10" s="5">
        <f>COUNTIF(G6:G7,"si")</f>
        <v>2</v>
      </c>
    </row>
    <row r="12">
      <c r="F12" s="19" t="s">
        <v>55</v>
      </c>
      <c r="G12" s="5">
        <f>COUNTIF(G3:G8,"no")</f>
        <v>4</v>
      </c>
    </row>
    <row r="14">
      <c r="F14" s="20" t="s">
        <v>56</v>
      </c>
      <c r="G14" s="5" t="str">
        <f>IF(G10&gt;G12,"SI","NO")</f>
        <v>NO</v>
      </c>
    </row>
  </sheetData>
  <drawing r:id="rId1"/>
</worksheet>
</file>
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  <sheet state="visible" name="Hoja 4" sheetId="4" r:id="rId8"/>
  </sheets>
  <definedNames/>
  <calcPr/>
</workbook>
</file>

<file path=xl/sharedStrings.xml><?xml version="1.0" encoding="utf-8"?>
<sst xmlns="http://schemas.openxmlformats.org/spreadsheetml/2006/main" count="70" uniqueCount="61">
  <si>
    <t>Columna 1</t>
  </si>
  <si>
    <t>Columna 2</t>
  </si>
  <si>
    <t xml:space="preserve">nota 2 </t>
  </si>
  <si>
    <t>nota 3</t>
  </si>
  <si>
    <t>media notas</t>
  </si>
  <si>
    <t>steven</t>
  </si>
  <si>
    <t>estela</t>
  </si>
  <si>
    <t>hugo</t>
  </si>
  <si>
    <t>pablo</t>
  </si>
  <si>
    <t>izan</t>
  </si>
  <si>
    <t>juan mariano</t>
  </si>
  <si>
    <t>KWH</t>
  </si>
  <si>
    <t>Aparato</t>
  </si>
  <si>
    <t>potencia watios</t>
  </si>
  <si>
    <t xml:space="preserve">hora de funcionamiento </t>
  </si>
  <si>
    <t>potencia kw</t>
  </si>
  <si>
    <t xml:space="preserve">horas mensuales </t>
  </si>
  <si>
    <t>energia kwh</t>
  </si>
  <si>
    <t>coste</t>
  </si>
  <si>
    <t>lavadora</t>
  </si>
  <si>
    <t>televisor</t>
  </si>
  <si>
    <t xml:space="preserve">frigorifico </t>
  </si>
  <si>
    <t>lavavajillas</t>
  </si>
  <si>
    <t xml:space="preserve">iluminacion </t>
  </si>
  <si>
    <t xml:space="preserve">plancha </t>
  </si>
  <si>
    <t xml:space="preserve">ordenador </t>
  </si>
  <si>
    <t>TOTAL</t>
  </si>
  <si>
    <t xml:space="preserve">IVA  </t>
  </si>
  <si>
    <t xml:space="preserve">total iva </t>
  </si>
  <si>
    <t>Localidad</t>
  </si>
  <si>
    <t xml:space="preserve">N de plazas </t>
  </si>
  <si>
    <t xml:space="preserve">Promedio de ocupacion </t>
  </si>
  <si>
    <t>Porcentaje de ocupacion</t>
  </si>
  <si>
    <t xml:space="preserve">Diferencia </t>
  </si>
  <si>
    <t>¿Rentable?</t>
  </si>
  <si>
    <t>Madrid</t>
  </si>
  <si>
    <t>Barcelona</t>
  </si>
  <si>
    <t>Valencia</t>
  </si>
  <si>
    <t xml:space="preserve">Zaragoza </t>
  </si>
  <si>
    <t>Sevilla</t>
  </si>
  <si>
    <t>Bilbao</t>
  </si>
  <si>
    <t xml:space="preserve">N campos rentables </t>
  </si>
  <si>
    <t>N campos no rentables</t>
  </si>
  <si>
    <t>Es rentable en conjunto</t>
  </si>
  <si>
    <t>Enero</t>
  </si>
  <si>
    <t>Febrero</t>
  </si>
  <si>
    <t>marzo</t>
  </si>
  <si>
    <t>Total trimestre</t>
  </si>
  <si>
    <t>GImnasio</t>
  </si>
  <si>
    <t>comida</t>
  </si>
  <si>
    <t>ocio</t>
  </si>
  <si>
    <t>Agua</t>
  </si>
  <si>
    <t>Electricidad</t>
  </si>
  <si>
    <t>Hipoteca</t>
  </si>
  <si>
    <t>total</t>
  </si>
  <si>
    <t>total trimestre</t>
  </si>
  <si>
    <t>numero</t>
  </si>
  <si>
    <t>tabla</t>
  </si>
  <si>
    <t>operacion</t>
  </si>
  <si>
    <t>resultado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</si>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</sst>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B7E1CD"/>
        <bgColor rgb="FFB7E1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0" fillId="3" fontId="2" numFmtId="0" xfId="0" applyAlignment="1" applyFont="1">
      <alignment vertical="bottom"/>
    </xf>
    <xf borderId="1" fillId="5" fontId="2" numFmtId="0" xfId="0" applyAlignment="1" applyBorder="1" applyFill="1" applyFont="1">
      <alignment vertical="bottom"/>
    </xf>
    <xf borderId="0" fillId="6" fontId="2" numFmtId="0" xfId="0" applyAlignment="1" applyFill="1" applyFont="1">
      <alignment vertical="bottom"/>
    </xf>
    <xf borderId="1" fillId="7" fontId="2" numFmtId="0" xfId="0" applyAlignment="1" applyBorder="1" applyFill="1" applyFont="1">
      <alignment horizontal="right"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53929"/>
          <bgColor rgb="FFC53929"/>
        </patternFill>
      </fill>
      <border/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F9" displayName="notas_" name="notas_" id="1">
  <tableColumns count="5">
    <tableColumn name="Columna 1" id="1"/>
    <tableColumn name="Columna 2" id="2"/>
    <tableColumn name="nota 2 " id="3"/>
    <tableColumn name="nota 3" id="4"/>
    <tableColumn name="media notas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3.5"/>
    <col customWidth="1" min="5" max="5" width="25.25"/>
    <col customWidth="1" min="6" max="7" width="13.5"/>
  </cols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22.5" customHeight="1">
      <c r="B4" s="2" t="s">
        <v>5</v>
      </c>
      <c r="C4" s="2">
        <v>9.2</v>
      </c>
      <c r="D4" s="2">
        <v>4.7</v>
      </c>
      <c r="E4" s="2">
        <v>4.0</v>
      </c>
      <c r="F4" s="3">
        <f t="shared" ref="F4:F9" si="1">AVERAGE(C4:E4)</f>
        <v>5.966666667</v>
      </c>
    </row>
    <row r="5" ht="22.5" customHeight="1">
      <c r="B5" s="2" t="s">
        <v>6</v>
      </c>
      <c r="C5" s="2">
        <v>7.5</v>
      </c>
      <c r="D5" s="2">
        <v>8.3</v>
      </c>
      <c r="E5" s="2">
        <v>5.7</v>
      </c>
      <c r="F5" s="3">
        <f t="shared" si="1"/>
        <v>7.166666667</v>
      </c>
    </row>
    <row r="6" ht="22.5" customHeight="1">
      <c r="B6" s="2" t="s">
        <v>7</v>
      </c>
      <c r="C6" s="2">
        <v>3.37</v>
      </c>
      <c r="D6" s="2">
        <v>9.0</v>
      </c>
      <c r="E6" s="2">
        <v>8.5</v>
      </c>
      <c r="F6" s="3">
        <f t="shared" si="1"/>
        <v>6.956666667</v>
      </c>
    </row>
    <row r="7" ht="22.5" customHeight="1">
      <c r="B7" s="2" t="s">
        <v>8</v>
      </c>
      <c r="C7" s="2">
        <v>6.0</v>
      </c>
      <c r="D7" s="2">
        <v>7.0</v>
      </c>
      <c r="E7" s="2">
        <v>8.25</v>
      </c>
      <c r="F7" s="3">
        <f t="shared" si="1"/>
        <v>7.083333333</v>
      </c>
    </row>
    <row r="8" ht="22.5" customHeight="1">
      <c r="B8" s="2" t="s">
        <v>9</v>
      </c>
      <c r="C8" s="2">
        <v>5.88</v>
      </c>
      <c r="D8" s="2">
        <v>7.85</v>
      </c>
      <c r="E8" s="2">
        <v>6.33</v>
      </c>
      <c r="F8" s="3">
        <f t="shared" si="1"/>
        <v>6.686666667</v>
      </c>
    </row>
    <row r="9" ht="22.5" customHeight="1">
      <c r="B9" s="2" t="s">
        <v>10</v>
      </c>
      <c r="C9" s="2">
        <v>7.0</v>
      </c>
      <c r="D9" s="2">
        <v>4.5</v>
      </c>
      <c r="E9" s="2">
        <v>2.25</v>
      </c>
      <c r="F9" s="3">
        <f t="shared" si="1"/>
        <v>4.583333333</v>
      </c>
    </row>
  </sheetData>
  <conditionalFormatting sqref="C4:F9">
    <cfRule type="cellIs" dxfId="5" priority="1" operator="greaterThanOrEqual">
      <formula>5</formula>
    </cfRule>
  </conditionalFormatting>
  <conditionalFormatting sqref="C4:F9">
    <cfRule type="cellIs" dxfId="6" priority="2" operator="lessThan">
      <formula>5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4"/>
      <c r="D3" s="4"/>
      <c r="E3" s="4"/>
      <c r="F3" s="4"/>
      <c r="G3" s="4"/>
      <c r="H3" s="4"/>
      <c r="I3" s="4" t="s">
        <v>11</v>
      </c>
      <c r="J3" s="5">
        <v>0.055</v>
      </c>
      <c r="K3" s="4"/>
    </row>
    <row r="4">
      <c r="C4" s="4"/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4"/>
    </row>
    <row r="5">
      <c r="C5" s="4"/>
      <c r="D5" s="7" t="s">
        <v>19</v>
      </c>
      <c r="E5" s="8">
        <v>2000.0</v>
      </c>
      <c r="F5" s="8">
        <v>2.0</v>
      </c>
      <c r="G5" s="8">
        <f t="shared" ref="G5:G11" si="1">E5/1000</f>
        <v>2</v>
      </c>
      <c r="H5" s="8">
        <f t="shared" ref="H5:H11" si="2">F5*30</f>
        <v>60</v>
      </c>
      <c r="I5" s="8">
        <f t="shared" ref="I5:I11" si="3">G5*H5</f>
        <v>120</v>
      </c>
      <c r="J5" s="8">
        <f>I5*J3</f>
        <v>6.6</v>
      </c>
      <c r="K5" s="4"/>
    </row>
    <row r="6">
      <c r="C6" s="4"/>
      <c r="D6" s="7" t="s">
        <v>20</v>
      </c>
      <c r="E6" s="8">
        <v>150.0</v>
      </c>
      <c r="F6" s="8">
        <v>3.0</v>
      </c>
      <c r="G6" s="8">
        <f t="shared" si="1"/>
        <v>0.15</v>
      </c>
      <c r="H6" s="8">
        <f t="shared" si="2"/>
        <v>90</v>
      </c>
      <c r="I6" s="8">
        <f t="shared" si="3"/>
        <v>13.5</v>
      </c>
      <c r="J6" s="8">
        <f>I6*J3</f>
        <v>0.7425</v>
      </c>
      <c r="K6" s="4"/>
    </row>
    <row r="7">
      <c r="C7" s="4"/>
      <c r="D7" s="7" t="s">
        <v>21</v>
      </c>
      <c r="E7" s="8">
        <v>300.0</v>
      </c>
      <c r="F7" s="8">
        <v>24.0</v>
      </c>
      <c r="G7" s="8">
        <f t="shared" si="1"/>
        <v>0.3</v>
      </c>
      <c r="H7" s="8">
        <f t="shared" si="2"/>
        <v>720</v>
      </c>
      <c r="I7" s="8">
        <f t="shared" si="3"/>
        <v>216</v>
      </c>
      <c r="J7" s="8">
        <f>I7*J3</f>
        <v>11.88</v>
      </c>
      <c r="K7" s="4"/>
    </row>
    <row r="8">
      <c r="C8" s="4"/>
      <c r="D8" s="7" t="s">
        <v>22</v>
      </c>
      <c r="E8" s="8">
        <v>1800.0</v>
      </c>
      <c r="F8" s="8">
        <v>3.0</v>
      </c>
      <c r="G8" s="8">
        <f t="shared" si="1"/>
        <v>1.8</v>
      </c>
      <c r="H8" s="8">
        <f t="shared" si="2"/>
        <v>90</v>
      </c>
      <c r="I8" s="8">
        <f t="shared" si="3"/>
        <v>162</v>
      </c>
      <c r="J8" s="8">
        <f>I8*J3</f>
        <v>8.91</v>
      </c>
      <c r="K8" s="4"/>
    </row>
    <row r="9">
      <c r="C9" s="4"/>
      <c r="D9" s="7" t="s">
        <v>23</v>
      </c>
      <c r="E9" s="8">
        <v>500.0</v>
      </c>
      <c r="F9" s="8">
        <v>6.0</v>
      </c>
      <c r="G9" s="8">
        <f t="shared" si="1"/>
        <v>0.5</v>
      </c>
      <c r="H9" s="8">
        <f t="shared" si="2"/>
        <v>180</v>
      </c>
      <c r="I9" s="8">
        <f t="shared" si="3"/>
        <v>90</v>
      </c>
      <c r="J9" s="8">
        <f>I9*J3</f>
        <v>4.95</v>
      </c>
      <c r="K9" s="4"/>
    </row>
    <row r="10">
      <c r="C10" s="4"/>
      <c r="D10" s="7" t="s">
        <v>24</v>
      </c>
      <c r="E10" s="8">
        <v>1100.0</v>
      </c>
      <c r="F10" s="8">
        <v>1.0</v>
      </c>
      <c r="G10" s="8">
        <f t="shared" si="1"/>
        <v>1.1</v>
      </c>
      <c r="H10" s="8">
        <f t="shared" si="2"/>
        <v>30</v>
      </c>
      <c r="I10" s="8">
        <f t="shared" si="3"/>
        <v>33</v>
      </c>
      <c r="J10" s="8">
        <f>I10*J3</f>
        <v>1.815</v>
      </c>
      <c r="K10" s="4"/>
    </row>
    <row r="11">
      <c r="C11" s="4"/>
      <c r="D11" s="7" t="s">
        <v>25</v>
      </c>
      <c r="E11" s="8">
        <v>250.0</v>
      </c>
      <c r="F11" s="8">
        <v>7.0</v>
      </c>
      <c r="G11" s="8">
        <f t="shared" si="1"/>
        <v>0.25</v>
      </c>
      <c r="H11" s="8">
        <f t="shared" si="2"/>
        <v>210</v>
      </c>
      <c r="I11" s="8">
        <f t="shared" si="3"/>
        <v>52.5</v>
      </c>
      <c r="J11" s="8">
        <f>I11*J3</f>
        <v>2.8875</v>
      </c>
      <c r="K11" s="4"/>
    </row>
    <row r="12">
      <c r="C12" s="4"/>
      <c r="D12" s="4"/>
      <c r="E12" s="4"/>
      <c r="F12" s="4"/>
      <c r="G12" s="4"/>
      <c r="H12" s="4"/>
      <c r="I12" s="4"/>
      <c r="J12" s="4"/>
      <c r="K12" s="4"/>
    </row>
    <row r="13">
      <c r="C13" s="4"/>
      <c r="D13" s="4"/>
      <c r="E13" s="4"/>
      <c r="F13" s="4"/>
      <c r="G13" s="4"/>
      <c r="H13" s="4"/>
      <c r="I13" s="9" t="s">
        <v>26</v>
      </c>
      <c r="J13" s="8">
        <f>SUM(J5:J11)</f>
        <v>37.785</v>
      </c>
      <c r="K13" s="4"/>
    </row>
    <row r="14">
      <c r="C14" s="4"/>
      <c r="D14" s="4"/>
      <c r="E14" s="4"/>
      <c r="F14" s="4"/>
      <c r="G14" s="4"/>
      <c r="H14" s="4"/>
      <c r="I14" s="9" t="s">
        <v>27</v>
      </c>
      <c r="J14" s="8">
        <f>J13*16%</f>
        <v>6.0456</v>
      </c>
      <c r="K14" s="4"/>
    </row>
    <row r="15">
      <c r="C15" s="4"/>
      <c r="D15" s="4"/>
      <c r="E15" s="4"/>
      <c r="F15" s="4"/>
      <c r="G15" s="4"/>
      <c r="H15" s="4"/>
      <c r="I15" s="9" t="s">
        <v>28</v>
      </c>
      <c r="J15" s="8">
        <f>SUM(J13:J14)</f>
        <v>43.8306</v>
      </c>
      <c r="K1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5"/>
    <col customWidth="1" min="5" max="5" width="25.63"/>
  </cols>
  <sheetData>
    <row r="9">
      <c r="C9" s="4"/>
      <c r="D9" s="4"/>
      <c r="E9" s="4"/>
      <c r="F9" s="4"/>
      <c r="G9" s="4"/>
      <c r="H9" s="4"/>
      <c r="I9" s="4"/>
      <c r="J9" s="4"/>
    </row>
    <row r="10">
      <c r="C10" s="4"/>
      <c r="D10" s="4"/>
      <c r="E10" s="4"/>
      <c r="F10" s="4"/>
      <c r="G10" s="4"/>
      <c r="H10" s="4"/>
      <c r="I10" s="4"/>
      <c r="J10" s="4"/>
    </row>
    <row r="11">
      <c r="C11" s="6" t="s">
        <v>29</v>
      </c>
      <c r="D11" s="6" t="s">
        <v>30</v>
      </c>
      <c r="E11" s="6" t="s">
        <v>31</v>
      </c>
      <c r="F11" s="6" t="s">
        <v>32</v>
      </c>
      <c r="G11" s="6" t="s">
        <v>33</v>
      </c>
      <c r="H11" s="6" t="s">
        <v>34</v>
      </c>
      <c r="I11" s="4"/>
      <c r="J11" s="4"/>
    </row>
    <row r="12">
      <c r="C12" s="10" t="s">
        <v>35</v>
      </c>
      <c r="D12" s="8">
        <v>65000.0</v>
      </c>
      <c r="E12" s="8">
        <v>40000.0</v>
      </c>
      <c r="F12" s="8">
        <f t="shared" ref="F12:F17" si="1">E12*100/D12</f>
        <v>61.53846154</v>
      </c>
      <c r="G12" s="8">
        <f t="shared" ref="G12:G17" si="2">D12-E12</f>
        <v>25000</v>
      </c>
      <c r="H12" s="7" t="str">
        <f t="shared" ref="H12:H17" si="3">IF(F12&gt;=60,"si","no")</f>
        <v>si</v>
      </c>
      <c r="I12" s="4"/>
      <c r="J12" s="4"/>
    </row>
    <row r="13">
      <c r="C13" s="10" t="s">
        <v>36</v>
      </c>
      <c r="D13" s="8">
        <v>57000.0</v>
      </c>
      <c r="E13" s="8">
        <v>25000.0</v>
      </c>
      <c r="F13" s="8">
        <f t="shared" si="1"/>
        <v>43.85964912</v>
      </c>
      <c r="G13" s="8">
        <f t="shared" si="2"/>
        <v>32000</v>
      </c>
      <c r="H13" s="7" t="str">
        <f t="shared" si="3"/>
        <v>no</v>
      </c>
      <c r="I13" s="4"/>
      <c r="J13" s="4"/>
    </row>
    <row r="14">
      <c r="C14" s="10" t="s">
        <v>37</v>
      </c>
      <c r="D14" s="8">
        <v>45000.0</v>
      </c>
      <c r="E14" s="8">
        <v>34000.0</v>
      </c>
      <c r="F14" s="8">
        <f t="shared" si="1"/>
        <v>75.55555556</v>
      </c>
      <c r="G14" s="8">
        <f t="shared" si="2"/>
        <v>11000</v>
      </c>
      <c r="H14" s="7" t="str">
        <f t="shared" si="3"/>
        <v>si</v>
      </c>
      <c r="I14" s="4"/>
      <c r="J14" s="4"/>
    </row>
    <row r="15">
      <c r="C15" s="10" t="s">
        <v>38</v>
      </c>
      <c r="D15" s="8">
        <v>30000.0</v>
      </c>
      <c r="E15" s="8">
        <v>10000.0</v>
      </c>
      <c r="F15" s="8">
        <f t="shared" si="1"/>
        <v>33.33333333</v>
      </c>
      <c r="G15" s="8">
        <f t="shared" si="2"/>
        <v>20000</v>
      </c>
      <c r="H15" s="7" t="str">
        <f t="shared" si="3"/>
        <v>no</v>
      </c>
      <c r="I15" s="4"/>
      <c r="J15" s="4"/>
    </row>
    <row r="16">
      <c r="C16" s="10" t="s">
        <v>39</v>
      </c>
      <c r="D16" s="8">
        <v>25000.0</v>
      </c>
      <c r="E16" s="8">
        <v>12000.0</v>
      </c>
      <c r="F16" s="8">
        <f t="shared" si="1"/>
        <v>48</v>
      </c>
      <c r="G16" s="8">
        <f t="shared" si="2"/>
        <v>13000</v>
      </c>
      <c r="H16" s="7" t="str">
        <f t="shared" si="3"/>
        <v>no</v>
      </c>
      <c r="I16" s="4"/>
      <c r="J16" s="4"/>
    </row>
    <row r="17">
      <c r="C17" s="10" t="s">
        <v>40</v>
      </c>
      <c r="D17" s="8">
        <v>20000.0</v>
      </c>
      <c r="E17" s="8">
        <v>12000.0</v>
      </c>
      <c r="F17" s="8">
        <f t="shared" si="1"/>
        <v>60</v>
      </c>
      <c r="G17" s="8">
        <f t="shared" si="2"/>
        <v>8000</v>
      </c>
      <c r="H17" s="7" t="str">
        <f t="shared" si="3"/>
        <v>si</v>
      </c>
      <c r="I17" s="4"/>
      <c r="J17" s="4"/>
    </row>
    <row r="18">
      <c r="C18" s="4"/>
      <c r="D18" s="4"/>
      <c r="E18" s="4"/>
      <c r="F18" s="4"/>
      <c r="G18" s="4"/>
      <c r="H18" s="4"/>
      <c r="I18" s="4"/>
      <c r="J18" s="4"/>
    </row>
    <row r="19">
      <c r="C19" s="4"/>
      <c r="D19" s="4"/>
      <c r="E19" s="4"/>
      <c r="F19" s="4"/>
      <c r="G19" s="11" t="s">
        <v>41</v>
      </c>
      <c r="H19" s="8">
        <f>COUNTIF(H12:H17,"si")</f>
        <v>3</v>
      </c>
      <c r="I19" s="4"/>
      <c r="J19" s="4"/>
    </row>
    <row r="20">
      <c r="C20" s="4"/>
      <c r="D20" s="4"/>
      <c r="E20" s="4"/>
      <c r="F20" s="4"/>
      <c r="G20" s="11" t="s">
        <v>42</v>
      </c>
      <c r="H20" s="8">
        <f>COUNTIF(H12:H17,"no")</f>
        <v>3</v>
      </c>
      <c r="I20" s="4"/>
      <c r="J20" s="4"/>
    </row>
    <row r="21">
      <c r="C21" s="4"/>
      <c r="D21" s="4"/>
      <c r="E21" s="4"/>
      <c r="F21" s="4"/>
      <c r="G21" s="4"/>
      <c r="H21" s="4"/>
      <c r="I21" s="4"/>
      <c r="J21" s="4"/>
    </row>
    <row r="22">
      <c r="C22" s="4"/>
      <c r="D22" s="4"/>
      <c r="E22" s="4"/>
      <c r="F22" s="4"/>
      <c r="G22" s="11" t="s">
        <v>43</v>
      </c>
      <c r="H22" s="7" t="str">
        <f>IF(H19&gt;=3,"si","no")</f>
        <v>si</v>
      </c>
      <c r="I22" s="4"/>
      <c r="J22" s="4"/>
    </row>
    <row r="23">
      <c r="C23" s="4"/>
      <c r="D23" s="4"/>
      <c r="E23" s="4"/>
      <c r="F23" s="4"/>
      <c r="G23" s="4"/>
      <c r="H23" s="4"/>
      <c r="I23" s="4"/>
      <c r="J23" s="4"/>
    </row>
    <row r="24">
      <c r="C24" s="4"/>
      <c r="D24" s="4"/>
      <c r="E24" s="4"/>
      <c r="F24" s="4"/>
      <c r="G24" s="4"/>
      <c r="H24" s="4"/>
      <c r="I24" s="4"/>
      <c r="J24" s="4"/>
    </row>
    <row r="34">
      <c r="C34" s="4"/>
      <c r="D34" s="4"/>
      <c r="E34" s="4"/>
      <c r="F34" s="4"/>
      <c r="G34" s="4"/>
      <c r="H34" s="4"/>
      <c r="I34" s="4"/>
      <c r="J34" s="4"/>
      <c r="K34" s="4"/>
      <c r="L34" s="4"/>
    </row>
    <row r="35">
      <c r="C35" s="4"/>
      <c r="D35" s="4"/>
      <c r="E35" s="4"/>
      <c r="F35" s="4"/>
      <c r="G35" s="4"/>
      <c r="H35" s="4"/>
      <c r="I35" s="4"/>
      <c r="J35" s="4"/>
      <c r="K35" s="4"/>
      <c r="L35" s="4"/>
    </row>
    <row r="36">
      <c r="C36" s="4"/>
      <c r="D36" s="4"/>
      <c r="E36" s="4"/>
      <c r="F36" s="4"/>
      <c r="G36" s="4"/>
      <c r="H36" s="4"/>
      <c r="I36" s="4"/>
      <c r="J36" s="4"/>
      <c r="K36" s="4"/>
      <c r="L36" s="4"/>
    </row>
    <row r="37">
      <c r="C37" s="4"/>
      <c r="D37" s="4"/>
      <c r="E37" s="4"/>
      <c r="F37" s="4"/>
      <c r="G37" s="4"/>
      <c r="H37" s="4"/>
      <c r="I37" s="4"/>
      <c r="J37" s="4"/>
      <c r="K37" s="4"/>
      <c r="L37" s="4"/>
    </row>
    <row r="38">
      <c r="C38" s="4"/>
      <c r="D38" s="4"/>
      <c r="E38" s="4"/>
      <c r="F38" s="4"/>
      <c r="G38" s="4"/>
      <c r="H38" s="4"/>
      <c r="I38" s="4"/>
      <c r="J38" s="4"/>
      <c r="K38" s="4"/>
      <c r="L38" s="4"/>
    </row>
    <row r="39">
      <c r="C39" s="4"/>
      <c r="D39" s="4"/>
      <c r="E39" s="4"/>
      <c r="F39" s="4"/>
      <c r="G39" s="4"/>
      <c r="H39" s="4"/>
      <c r="I39" s="4"/>
      <c r="J39" s="4"/>
      <c r="K39" s="4"/>
      <c r="L39" s="4"/>
    </row>
    <row r="44">
      <c r="C44" s="4"/>
      <c r="D44" s="4"/>
      <c r="E44" s="4"/>
      <c r="F44" s="4"/>
      <c r="G44" s="4"/>
      <c r="H44" s="4"/>
      <c r="I44" s="4"/>
      <c r="J44" s="4"/>
    </row>
    <row r="45">
      <c r="C45" s="4"/>
      <c r="D45" s="4"/>
      <c r="E45" s="4"/>
      <c r="F45" s="4"/>
      <c r="G45" s="4"/>
      <c r="H45" s="4"/>
      <c r="I45" s="4"/>
      <c r="J45" s="4"/>
    </row>
    <row r="46">
      <c r="C46" s="4"/>
      <c r="D46" s="4"/>
      <c r="E46" s="4"/>
      <c r="F46" s="4"/>
      <c r="G46" s="4"/>
      <c r="H46" s="4"/>
      <c r="I46" s="4"/>
      <c r="J46" s="4"/>
    </row>
    <row r="52">
      <c r="C52" s="4"/>
      <c r="D52" s="4"/>
      <c r="E52" s="4"/>
      <c r="F52" s="4"/>
      <c r="G52" s="4"/>
      <c r="H52" s="4"/>
    </row>
    <row r="53">
      <c r="C53" s="4"/>
      <c r="D53" s="4"/>
      <c r="E53" s="4"/>
      <c r="F53" s="4"/>
      <c r="G53" s="4"/>
      <c r="H53" s="4"/>
    </row>
    <row r="54">
      <c r="C54" s="4"/>
      <c r="D54" s="4"/>
      <c r="E54" s="4"/>
      <c r="F54" s="4"/>
      <c r="G54" s="4"/>
      <c r="H54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4"/>
      <c r="D3" s="10" t="s">
        <v>44</v>
      </c>
      <c r="E3" s="10" t="s">
        <v>45</v>
      </c>
      <c r="F3" s="10" t="s">
        <v>46</v>
      </c>
      <c r="G3" s="12" t="s">
        <v>47</v>
      </c>
      <c r="H3" s="7"/>
    </row>
    <row r="4">
      <c r="C4" s="10" t="s">
        <v>48</v>
      </c>
      <c r="D4" s="8">
        <v>40.0</v>
      </c>
      <c r="E4" s="8">
        <v>40.0</v>
      </c>
      <c r="F4" s="8">
        <v>40.0</v>
      </c>
      <c r="G4" s="7" t="str">
        <f t="shared" ref="G4:G9" si="1">LOWER(C4)</f>
        <v>gimnasio</v>
      </c>
      <c r="H4" s="8">
        <f t="shared" ref="H4:H9" si="2">SUM(D4:F4)</f>
        <v>120</v>
      </c>
    </row>
    <row r="5">
      <c r="C5" s="10" t="s">
        <v>49</v>
      </c>
      <c r="D5" s="8">
        <v>120.0</v>
      </c>
      <c r="E5" s="8">
        <v>170.0</v>
      </c>
      <c r="F5" s="8">
        <v>130.0</v>
      </c>
      <c r="G5" s="7" t="str">
        <f t="shared" si="1"/>
        <v>comida</v>
      </c>
      <c r="H5" s="8">
        <f t="shared" si="2"/>
        <v>420</v>
      </c>
    </row>
    <row r="6">
      <c r="C6" s="10" t="s">
        <v>50</v>
      </c>
      <c r="D6" s="8">
        <v>40.0</v>
      </c>
      <c r="E6" s="8">
        <v>30.0</v>
      </c>
      <c r="F6" s="8">
        <v>45.0</v>
      </c>
      <c r="G6" s="7" t="str">
        <f t="shared" si="1"/>
        <v>ocio</v>
      </c>
      <c r="H6" s="8">
        <f t="shared" si="2"/>
        <v>115</v>
      </c>
    </row>
    <row r="7">
      <c r="C7" s="10" t="s">
        <v>51</v>
      </c>
      <c r="D7" s="8">
        <v>30.0</v>
      </c>
      <c r="E7" s="8">
        <v>20.0</v>
      </c>
      <c r="F7" s="8">
        <v>15.0</v>
      </c>
      <c r="G7" s="7" t="str">
        <f t="shared" si="1"/>
        <v>agua</v>
      </c>
      <c r="H7" s="8">
        <f t="shared" si="2"/>
        <v>65</v>
      </c>
    </row>
    <row r="8">
      <c r="C8" s="10" t="s">
        <v>52</v>
      </c>
      <c r="D8" s="8">
        <v>80.0</v>
      </c>
      <c r="E8" s="8">
        <v>70.0</v>
      </c>
      <c r="F8" s="8">
        <v>75.0</v>
      </c>
      <c r="G8" s="7" t="str">
        <f t="shared" si="1"/>
        <v>electricidad</v>
      </c>
      <c r="H8" s="8">
        <f t="shared" si="2"/>
        <v>225</v>
      </c>
    </row>
    <row r="9">
      <c r="C9" s="10" t="s">
        <v>53</v>
      </c>
      <c r="D9" s="8">
        <v>200.0</v>
      </c>
      <c r="E9" s="8">
        <v>250.0</v>
      </c>
      <c r="F9" s="8">
        <v>240.0</v>
      </c>
      <c r="G9" s="7" t="str">
        <f t="shared" si="1"/>
        <v>hipoteca</v>
      </c>
      <c r="H9" s="8">
        <f t="shared" si="2"/>
        <v>690</v>
      </c>
    </row>
    <row r="10">
      <c r="C10" s="4"/>
      <c r="D10" s="4"/>
      <c r="E10" s="4"/>
      <c r="F10" s="4"/>
      <c r="G10" s="4"/>
      <c r="H10" s="4"/>
    </row>
    <row r="11">
      <c r="C11" s="11" t="s">
        <v>54</v>
      </c>
      <c r="D11" s="8">
        <f t="shared" ref="D11:F11" si="3">SUM(D4:D9)</f>
        <v>510</v>
      </c>
      <c r="E11" s="8">
        <f t="shared" si="3"/>
        <v>580</v>
      </c>
      <c r="F11" s="8">
        <f t="shared" si="3"/>
        <v>545</v>
      </c>
      <c r="H11" s="4"/>
    </row>
    <row r="12">
      <c r="C12" s="13" t="s">
        <v>55</v>
      </c>
      <c r="D12" s="14">
        <f>SUM(D11:F11)</f>
        <v>1635</v>
      </c>
      <c r="E12" s="4"/>
      <c r="F12" s="4"/>
      <c r="G12" s="4"/>
      <c r="H12" s="4"/>
    </row>
    <row r="19">
      <c r="D19" s="4"/>
      <c r="E19" s="10" t="s">
        <v>56</v>
      </c>
      <c r="F19" s="10" t="s">
        <v>57</v>
      </c>
      <c r="G19" s="10" t="s">
        <v>58</v>
      </c>
      <c r="H19" s="10" t="s">
        <v>59</v>
      </c>
    </row>
    <row r="20">
      <c r="D20" s="4"/>
      <c r="E20" s="8">
        <v>5.0</v>
      </c>
      <c r="F20" s="15" t="s">
        <v>60</v>
      </c>
      <c r="G20" s="8">
        <v>1.0</v>
      </c>
      <c r="H20" s="8">
        <f t="shared" ref="H20:H29" si="4">E20*G20</f>
        <v>5</v>
      </c>
    </row>
    <row r="21">
      <c r="D21" s="4"/>
      <c r="E21" s="8">
        <v>5.0</v>
      </c>
      <c r="F21" s="15" t="s">
        <v>60</v>
      </c>
      <c r="G21" s="8">
        <v>2.0</v>
      </c>
      <c r="H21" s="8">
        <f t="shared" si="4"/>
        <v>10</v>
      </c>
    </row>
    <row r="22">
      <c r="D22" s="4"/>
      <c r="E22" s="8">
        <v>5.0</v>
      </c>
      <c r="F22" s="15" t="s">
        <v>60</v>
      </c>
      <c r="G22" s="8">
        <v>3.0</v>
      </c>
      <c r="H22" s="8">
        <f t="shared" si="4"/>
        <v>15</v>
      </c>
    </row>
    <row r="23">
      <c r="D23" s="4"/>
      <c r="E23" s="8">
        <v>5.0</v>
      </c>
      <c r="F23" s="15" t="s">
        <v>60</v>
      </c>
      <c r="G23" s="8">
        <v>4.0</v>
      </c>
      <c r="H23" s="8">
        <f t="shared" si="4"/>
        <v>20</v>
      </c>
    </row>
    <row r="24">
      <c r="D24" s="4"/>
      <c r="E24" s="8">
        <v>5.0</v>
      </c>
      <c r="F24" s="15" t="s">
        <v>60</v>
      </c>
      <c r="G24" s="8">
        <v>5.0</v>
      </c>
      <c r="H24" s="8">
        <f t="shared" si="4"/>
        <v>25</v>
      </c>
    </row>
    <row r="25">
      <c r="D25" s="4"/>
      <c r="E25" s="8">
        <v>5.0</v>
      </c>
      <c r="F25" s="15" t="s">
        <v>60</v>
      </c>
      <c r="G25" s="8">
        <v>6.0</v>
      </c>
      <c r="H25" s="8">
        <f t="shared" si="4"/>
        <v>30</v>
      </c>
    </row>
    <row r="26">
      <c r="D26" s="4"/>
      <c r="E26" s="8">
        <v>5.0</v>
      </c>
      <c r="F26" s="15" t="s">
        <v>60</v>
      </c>
      <c r="G26" s="8">
        <v>7.0</v>
      </c>
      <c r="H26" s="8">
        <f t="shared" si="4"/>
        <v>35</v>
      </c>
    </row>
    <row r="27">
      <c r="D27" s="4"/>
      <c r="E27" s="8">
        <v>5.0</v>
      </c>
      <c r="F27" s="15" t="s">
        <v>60</v>
      </c>
      <c r="G27" s="8">
        <v>8.0</v>
      </c>
      <c r="H27" s="8">
        <f t="shared" si="4"/>
        <v>40</v>
      </c>
    </row>
    <row r="28">
      <c r="D28" s="4"/>
      <c r="E28" s="8">
        <v>5.0</v>
      </c>
      <c r="F28" s="15" t="s">
        <v>60</v>
      </c>
      <c r="G28" s="8">
        <v>9.0</v>
      </c>
      <c r="H28" s="8">
        <f t="shared" si="4"/>
        <v>45</v>
      </c>
    </row>
    <row r="29">
      <c r="D29" s="4"/>
      <c r="E29" s="8">
        <v>5.0</v>
      </c>
      <c r="F29" s="15" t="s">
        <v>60</v>
      </c>
      <c r="G29" s="8">
        <v>10.0</v>
      </c>
      <c r="H29" s="8">
        <f t="shared" si="4"/>
        <v>50</v>
      </c>
    </row>
    <row r="30">
      <c r="D30" s="4"/>
      <c r="E30" s="7"/>
      <c r="F30" s="7"/>
      <c r="G30" s="7"/>
      <c r="H30" s="7"/>
    </row>
  </sheetData>
  <drawing r:id="rId1"/>
</worksheet>
</file>
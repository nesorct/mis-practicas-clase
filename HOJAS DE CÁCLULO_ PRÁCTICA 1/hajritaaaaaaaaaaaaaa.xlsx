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dad 1" sheetId="1" r:id="rId5"/>
    <sheet state="visible" name="actividad 2" sheetId="2" r:id="rId6"/>
    <sheet state="visible" name="actividad 3" sheetId="3" r:id="rId7"/>
    <sheet state="visible" name="actividad 4" sheetId="4" r:id="rId8"/>
    <sheet state="visible" name="actividad 5" sheetId="5" r:id="rId9"/>
    <sheet state="visible" name="actividad 6" sheetId="6" r:id="rId10"/>
  </sheets>
  <definedNames/>
  <calcPr/>
</workbook>
</file>

<file path=xl/sharedStrings.xml><?xml version="1.0" encoding="utf-8"?>
<sst xmlns="http://schemas.openxmlformats.org/spreadsheetml/2006/main" count="82" uniqueCount="72">
  <si>
    <t>NUMERO</t>
  </si>
  <si>
    <t>TABLA</t>
  </si>
  <si>
    <t>OPERACION</t>
  </si>
  <si>
    <t>RESULTADO</t>
  </si>
  <si>
    <t>x</t>
  </si>
  <si>
    <t>ENERO</t>
  </si>
  <si>
    <t>FEBRERO</t>
  </si>
  <si>
    <t>MARZO</t>
  </si>
  <si>
    <t>TOTAL TRIMESTRE</t>
  </si>
  <si>
    <t xml:space="preserve">salida con amigas </t>
  </si>
  <si>
    <t>ropa</t>
  </si>
  <si>
    <t>gimnasio</t>
  </si>
  <si>
    <t>uñas</t>
  </si>
  <si>
    <t>datos</t>
  </si>
  <si>
    <t>TOTAL</t>
  </si>
  <si>
    <t>TABLA DE NOTAS DE MIS COMPAÑEROS</t>
  </si>
  <si>
    <t>nombre</t>
  </si>
  <si>
    <t>presona1</t>
  </si>
  <si>
    <t>2</t>
  </si>
  <si>
    <t>3</t>
  </si>
  <si>
    <t>nota MEDIA</t>
  </si>
  <si>
    <t>YASSMIN</t>
  </si>
  <si>
    <t>IBTISSAM</t>
  </si>
  <si>
    <t>MERIAM</t>
  </si>
  <si>
    <t>CHAIMA</t>
  </si>
  <si>
    <t>STIVEN</t>
  </si>
  <si>
    <t>ASSMA</t>
  </si>
  <si>
    <r>
      <rPr>
        <rFont val="Arial"/>
        <color theme="1"/>
      </rPr>
      <t xml:space="preserve">    </t>
    </r>
    <r>
      <rPr>
        <rFont val="Arial"/>
        <color theme="1"/>
        <sz val="17.0"/>
      </rPr>
      <t>CÁLCULO DE LA FACTURA DE LA COMPAÑIA ÉLECTRICA</t>
    </r>
  </si>
  <si>
    <t>KWh=</t>
  </si>
  <si>
    <t>0,055 $</t>
  </si>
  <si>
    <t xml:space="preserve">APARATO </t>
  </si>
  <si>
    <t>POTENCIA</t>
  </si>
  <si>
    <t>HORAS DE FUNCIONAMIENTO DIARIAS</t>
  </si>
  <si>
    <t>HORAS MENSUALES</t>
  </si>
  <si>
    <t>ENERGÍA</t>
  </si>
  <si>
    <t>COSTE</t>
  </si>
  <si>
    <t>WATIOS</t>
  </si>
  <si>
    <t>KW</t>
  </si>
  <si>
    <t>KWh</t>
  </si>
  <si>
    <t>$</t>
  </si>
  <si>
    <t>lavadora</t>
  </si>
  <si>
    <t>televisor</t>
  </si>
  <si>
    <t>frigorífico</t>
  </si>
  <si>
    <t>lavavajillas</t>
  </si>
  <si>
    <t>iluminación</t>
  </si>
  <si>
    <t>plancha</t>
  </si>
  <si>
    <t>ordenador</t>
  </si>
  <si>
    <t>TOTAL:</t>
  </si>
  <si>
    <t>IVA 16%:</t>
  </si>
  <si>
    <t>TOTAL CON IVA:</t>
  </si>
  <si>
    <t xml:space="preserve">      COMPAÑIA  ESOAÑOLA DE CANOS DE FÚTBOL</t>
  </si>
  <si>
    <t>Estudio de rentabilidad año 2024</t>
  </si>
  <si>
    <t xml:space="preserve">Localidad </t>
  </si>
  <si>
    <t xml:space="preserve">Nº de plazas </t>
  </si>
  <si>
    <t>Promedio de ocupacion</t>
  </si>
  <si>
    <t>Porcentaje de ocupacion</t>
  </si>
  <si>
    <t>Diferencia</t>
  </si>
  <si>
    <t>¿Es rentable? SI/NO</t>
  </si>
  <si>
    <t xml:space="preserve">Mnadrid </t>
  </si>
  <si>
    <t>Barcelona</t>
  </si>
  <si>
    <t>Valencia</t>
  </si>
  <si>
    <t>Zaragoza</t>
  </si>
  <si>
    <t>Sevilla</t>
  </si>
  <si>
    <t>Bilbao</t>
  </si>
  <si>
    <t>NºCAMPOS RENTABLES:</t>
  </si>
  <si>
    <t>NºCAMPOS NO RENTABLES:</t>
  </si>
  <si>
    <t>¿ es restable en conjunto?:</t>
  </si>
  <si>
    <t>POBLACION DE ARAGOÓN 2013</t>
  </si>
  <si>
    <t>Edad</t>
  </si>
  <si>
    <t>Hombres</t>
  </si>
  <si>
    <t>Mujeres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</si>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</sst>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Roboto"/>
    </font>
    <font>
      <color rgb="FF434343"/>
      <name val="Roboto"/>
    </font>
    <font/>
    <font>
      <b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1" fillId="6" fontId="1" numFmtId="0" xfId="0" applyBorder="1" applyFill="1" applyFont="1"/>
    <xf borderId="1" fillId="7" fontId="1" numFmtId="0" xfId="0" applyAlignment="1" applyBorder="1" applyFill="1" applyFont="1">
      <alignment readingOrder="0"/>
    </xf>
    <xf borderId="0" fillId="0" fontId="2" numFmtId="0" xfId="0" applyAlignment="1" applyFont="1">
      <alignment vertical="bottom"/>
    </xf>
    <xf borderId="0" fillId="7" fontId="2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1" fillId="7" fontId="4" numFmtId="0" xfId="0" applyAlignment="1" applyBorder="1" applyFont="1">
      <alignment shrinkToFit="0" vertical="center" wrapText="0"/>
    </xf>
    <xf borderId="1" fillId="9" fontId="3" numFmtId="0" xfId="0" applyAlignment="1" applyBorder="1" applyFill="1" applyFont="1">
      <alignment horizontal="right" shrinkToFit="0" vertical="center" wrapText="0"/>
    </xf>
    <xf borderId="1" fillId="8" fontId="4" numFmtId="0" xfId="0" applyAlignment="1" applyBorder="1" applyFont="1">
      <alignment horizontal="right" shrinkToFit="0" vertical="center" wrapText="0"/>
    </xf>
    <xf borderId="1" fillId="9" fontId="3" numFmtId="164" xfId="0" applyAlignment="1" applyBorder="1" applyFont="1" applyNumberFormat="1">
      <alignment horizontal="right" shrinkToFit="0" vertical="center" wrapText="0"/>
    </xf>
    <xf borderId="2" fillId="10" fontId="2" numFmtId="0" xfId="0" applyAlignment="1" applyBorder="1" applyFill="1" applyFont="1">
      <alignment vertical="bottom"/>
    </xf>
    <xf borderId="3" fillId="0" fontId="5" numFmtId="0" xfId="0" applyBorder="1" applyFont="1"/>
    <xf borderId="4" fillId="0" fontId="5" numFmtId="0" xfId="0" applyBorder="1" applyFont="1"/>
    <xf borderId="1" fillId="0" fontId="2" numFmtId="0" xfId="0" applyAlignment="1" applyBorder="1" applyFont="1">
      <alignment vertical="bottom"/>
    </xf>
    <xf borderId="5" fillId="10" fontId="2" numFmtId="0" xfId="0" applyAlignment="1" applyBorder="1" applyFont="1">
      <alignment vertical="bottom"/>
    </xf>
    <xf borderId="1" fillId="10" fontId="2" numFmtId="0" xfId="0" applyAlignment="1" applyBorder="1" applyFont="1">
      <alignment vertical="bottom"/>
    </xf>
    <xf borderId="6" fillId="10" fontId="2" numFmtId="0" xfId="0" applyAlignment="1" applyBorder="1" applyFont="1">
      <alignment shrinkToFit="0" vertical="bottom" wrapText="1"/>
    </xf>
    <xf borderId="7" fillId="0" fontId="5" numFmtId="0" xfId="0" applyBorder="1" applyFont="1"/>
    <xf borderId="5" fillId="10" fontId="2" numFmtId="0" xfId="0" applyAlignment="1" applyBorder="1" applyFont="1">
      <alignment shrinkToFit="0" vertical="bottom" wrapText="1"/>
    </xf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" fillId="0" fontId="2" numFmtId="0" xfId="0" applyAlignment="1" applyBorder="1" applyFont="1">
      <alignment horizontal="right" readingOrder="0" vertical="bottom"/>
    </xf>
    <xf borderId="2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11" fontId="2" numFmtId="0" xfId="0" applyAlignment="1" applyBorder="1" applyFill="1" applyFont="1">
      <alignment horizontal="right" vertical="bottom"/>
    </xf>
    <xf borderId="1" fillId="10" fontId="6" numFmtId="0" xfId="0" applyAlignment="1" applyBorder="1" applyFont="1">
      <alignment vertical="bottom"/>
    </xf>
    <xf borderId="2" fillId="10" fontId="6" numFmtId="0" xfId="0" applyAlignment="1" applyBorder="1" applyFont="1">
      <alignment vertical="bottom"/>
    </xf>
    <xf borderId="1" fillId="12" fontId="1" numFmtId="0" xfId="0" applyAlignment="1" applyBorder="1" applyFill="1" applyFont="1">
      <alignment readingOrder="0"/>
    </xf>
    <xf borderId="3" fillId="12" fontId="1" numFmtId="0" xfId="0" applyBorder="1" applyFont="1"/>
    <xf borderId="4" fillId="12" fontId="1" numFmtId="0" xfId="0" applyBorder="1" applyFont="1"/>
    <xf borderId="1" fillId="12" fontId="1" numFmtId="0" xfId="0" applyBorder="1" applyFont="1"/>
    <xf borderId="2" fillId="3" fontId="1" numFmtId="0" xfId="0" applyAlignment="1" applyBorder="1" applyFont="1">
      <alignment readingOrder="0"/>
    </xf>
    <xf borderId="4" fillId="3" fontId="1" numFmtId="0" xfId="0" applyBorder="1" applyFont="1"/>
    <xf borderId="1" fillId="13" fontId="1" numFmtId="0" xfId="0" applyAlignment="1" applyBorder="1" applyFill="1" applyFont="1">
      <alignment readingOrder="0"/>
    </xf>
    <xf borderId="1" fillId="13" fontId="1" numFmtId="0" xfId="0" applyAlignment="1" applyBorder="1" applyFont="1">
      <alignment readingOrder="0" shrinkToFit="0" wrapText="1"/>
    </xf>
    <xf borderId="1" fillId="14" fontId="1" numFmtId="0" xfId="0" applyAlignment="1" applyBorder="1" applyFill="1" applyFont="1">
      <alignment readingOrder="0"/>
    </xf>
    <xf borderId="1" fillId="5" fontId="1" numFmtId="0" xfId="0" applyBorder="1" applyFont="1"/>
    <xf borderId="0" fillId="0" fontId="2" numFmtId="0" xfId="0" applyAlignment="1" applyFont="1">
      <alignment readingOrder="0" shrinkToFit="0" vertical="bottom" wrapText="1"/>
    </xf>
    <xf borderId="0" fillId="5" fontId="1" numFmtId="0" xfId="0" applyFont="1"/>
    <xf borderId="0" fillId="7" fontId="1" numFmtId="0" xfId="0" applyFont="1"/>
    <xf borderId="0" fillId="0" fontId="1" numFmtId="0" xfId="0" applyAlignment="1" applyFont="1">
      <alignment readingOrder="0" shrinkToFit="0" wrapText="1"/>
    </xf>
    <xf borderId="2" fillId="15" fontId="1" numFmtId="0" xfId="0" applyAlignment="1" applyBorder="1" applyFill="1" applyFont="1">
      <alignment readingOrder="0" shrinkToFit="0" wrapText="0"/>
    </xf>
    <xf borderId="3" fillId="15" fontId="1" numFmtId="0" xfId="0" applyBorder="1" applyFont="1"/>
    <xf borderId="4" fillId="15" fontId="1" numFmtId="0" xfId="0" applyBorder="1" applyFont="1"/>
    <xf borderId="1" fillId="16" fontId="1" numFmtId="0" xfId="0" applyAlignment="1" applyBorder="1" applyFill="1" applyFont="1">
      <alignment readingOrder="0"/>
    </xf>
    <xf borderId="1" fillId="16" fontId="1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actividad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6:G12" displayName="Tabla_1" name="Tabla_1" id="1">
  <tableColumns count="5">
    <tableColumn name="nombre" id="1"/>
    <tableColumn name="presona1" id="2"/>
    <tableColumn name="2" id="3"/>
    <tableColumn name="3" id="4"/>
    <tableColumn name="nota MEDIA" id="5"/>
  </tableColumns>
  <tableStyleInfo name="actividad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38"/>
  </cols>
  <sheetData>
    <row r="1">
      <c r="B1" s="1" t="s">
        <v>0</v>
      </c>
      <c r="C1" s="2" t="s">
        <v>1</v>
      </c>
      <c r="D1" s="2" t="s">
        <v>2</v>
      </c>
      <c r="E1" s="2" t="s">
        <v>3</v>
      </c>
    </row>
    <row r="2">
      <c r="B2" s="3">
        <v>6.0</v>
      </c>
      <c r="C2" s="3" t="s">
        <v>4</v>
      </c>
      <c r="D2" s="3">
        <v>1.0</v>
      </c>
      <c r="E2" s="3">
        <f t="shared" ref="E2:E11" si="1">B2*D2</f>
        <v>6</v>
      </c>
    </row>
    <row r="3">
      <c r="B3" s="3">
        <f t="shared" ref="B3:B11" si="2">B2</f>
        <v>6</v>
      </c>
      <c r="C3" s="3" t="s">
        <v>4</v>
      </c>
      <c r="D3" s="4">
        <f t="shared" ref="D3:D11" si="3">D2+1</f>
        <v>2</v>
      </c>
      <c r="E3" s="3">
        <f t="shared" si="1"/>
        <v>12</v>
      </c>
    </row>
    <row r="4">
      <c r="B4" s="3">
        <f t="shared" si="2"/>
        <v>6</v>
      </c>
      <c r="C4" s="3" t="s">
        <v>4</v>
      </c>
      <c r="D4" s="4">
        <f t="shared" si="3"/>
        <v>3</v>
      </c>
      <c r="E4" s="3">
        <f t="shared" si="1"/>
        <v>18</v>
      </c>
    </row>
    <row r="5">
      <c r="B5" s="3">
        <f t="shared" si="2"/>
        <v>6</v>
      </c>
      <c r="C5" s="3" t="s">
        <v>4</v>
      </c>
      <c r="D5" s="4">
        <f t="shared" si="3"/>
        <v>4</v>
      </c>
      <c r="E5" s="3">
        <f t="shared" si="1"/>
        <v>24</v>
      </c>
    </row>
    <row r="6">
      <c r="B6" s="3">
        <f t="shared" si="2"/>
        <v>6</v>
      </c>
      <c r="C6" s="3" t="s">
        <v>4</v>
      </c>
      <c r="D6" s="4">
        <f t="shared" si="3"/>
        <v>5</v>
      </c>
      <c r="E6" s="3">
        <f t="shared" si="1"/>
        <v>30</v>
      </c>
    </row>
    <row r="7">
      <c r="B7" s="3">
        <f t="shared" si="2"/>
        <v>6</v>
      </c>
      <c r="C7" s="3" t="s">
        <v>4</v>
      </c>
      <c r="D7" s="4">
        <f t="shared" si="3"/>
        <v>6</v>
      </c>
      <c r="E7" s="3">
        <f t="shared" si="1"/>
        <v>36</v>
      </c>
    </row>
    <row r="8">
      <c r="B8" s="3">
        <f t="shared" si="2"/>
        <v>6</v>
      </c>
      <c r="C8" s="3" t="s">
        <v>4</v>
      </c>
      <c r="D8" s="4">
        <f t="shared" si="3"/>
        <v>7</v>
      </c>
      <c r="E8" s="3">
        <f t="shared" si="1"/>
        <v>42</v>
      </c>
    </row>
    <row r="9">
      <c r="B9" s="3">
        <f t="shared" si="2"/>
        <v>6</v>
      </c>
      <c r="C9" s="3" t="s">
        <v>4</v>
      </c>
      <c r="D9" s="4">
        <f t="shared" si="3"/>
        <v>8</v>
      </c>
      <c r="E9" s="3">
        <f t="shared" si="1"/>
        <v>48</v>
      </c>
    </row>
    <row r="10">
      <c r="B10" s="3">
        <f t="shared" si="2"/>
        <v>6</v>
      </c>
      <c r="C10" s="3" t="s">
        <v>4</v>
      </c>
      <c r="D10" s="4">
        <f t="shared" si="3"/>
        <v>9</v>
      </c>
      <c r="E10" s="3">
        <f t="shared" si="1"/>
        <v>54</v>
      </c>
    </row>
    <row r="11">
      <c r="B11" s="3">
        <f t="shared" si="2"/>
        <v>6</v>
      </c>
      <c r="C11" s="3" t="s">
        <v>4</v>
      </c>
      <c r="D11" s="4">
        <f t="shared" si="3"/>
        <v>10</v>
      </c>
      <c r="E11" s="3">
        <f t="shared" si="1"/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7" max="7" width="17.25"/>
  </cols>
  <sheetData>
    <row r="1">
      <c r="C1" s="5" t="s">
        <v>5</v>
      </c>
      <c r="D1" s="5" t="s">
        <v>6</v>
      </c>
      <c r="E1" s="5" t="s">
        <v>7</v>
      </c>
      <c r="G1" s="3" t="s">
        <v>8</v>
      </c>
    </row>
    <row r="2">
      <c r="B2" s="6" t="s">
        <v>9</v>
      </c>
      <c r="C2" s="3">
        <v>20.0</v>
      </c>
      <c r="D2" s="7">
        <v>30.0</v>
      </c>
      <c r="E2" s="3">
        <v>20.0</v>
      </c>
      <c r="G2" s="8">
        <f t="shared" ref="G2:G6" si="1">SUM(C2:E2)</f>
        <v>70</v>
      </c>
    </row>
    <row r="3">
      <c r="B3" s="6" t="s">
        <v>10</v>
      </c>
      <c r="C3" s="3">
        <v>150.0</v>
      </c>
      <c r="D3" s="3">
        <v>150.0</v>
      </c>
      <c r="E3" s="3">
        <v>200.0</v>
      </c>
      <c r="G3" s="8">
        <f t="shared" si="1"/>
        <v>500</v>
      </c>
    </row>
    <row r="4">
      <c r="B4" s="6" t="s">
        <v>11</v>
      </c>
      <c r="C4" s="7">
        <v>40.0</v>
      </c>
      <c r="D4" s="3">
        <v>40.0</v>
      </c>
      <c r="E4" s="3">
        <v>220.0</v>
      </c>
      <c r="G4" s="8">
        <f t="shared" si="1"/>
        <v>300</v>
      </c>
    </row>
    <row r="5">
      <c r="B5" s="6" t="s">
        <v>12</v>
      </c>
      <c r="C5" s="3">
        <v>35.0</v>
      </c>
      <c r="D5" s="3">
        <v>20.0</v>
      </c>
      <c r="E5" s="3">
        <v>2332.0</v>
      </c>
      <c r="G5" s="8">
        <f t="shared" si="1"/>
        <v>2387</v>
      </c>
    </row>
    <row r="6">
      <c r="B6" s="6" t="s">
        <v>13</v>
      </c>
      <c r="C6" s="3">
        <v>10.0</v>
      </c>
      <c r="D6" s="3">
        <v>10.0</v>
      </c>
      <c r="E6" s="3">
        <v>20.0</v>
      </c>
      <c r="G6" s="8">
        <f t="shared" si="1"/>
        <v>40</v>
      </c>
    </row>
    <row r="8">
      <c r="B8" s="9" t="s">
        <v>14</v>
      </c>
      <c r="C8" s="8">
        <f t="shared" ref="C8:E8" si="2">SUM(C2:C6)</f>
        <v>255</v>
      </c>
      <c r="D8" s="8">
        <f t="shared" si="2"/>
        <v>250</v>
      </c>
      <c r="E8" s="8">
        <f t="shared" si="2"/>
        <v>2792</v>
      </c>
      <c r="G8" s="4">
        <f>SUM(C8:E8)</f>
        <v>3297</v>
      </c>
    </row>
  </sheetData>
  <conditionalFormatting sqref="G8">
    <cfRule type="cellIs" dxfId="0" priority="1" operator="greaterThan"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/>
      <c r="C2" s="11"/>
      <c r="D2" s="11"/>
      <c r="E2" s="11"/>
      <c r="F2" s="10"/>
      <c r="G2" s="10"/>
      <c r="H2" s="10"/>
    </row>
    <row r="3">
      <c r="B3" s="10"/>
      <c r="C3" s="12" t="s">
        <v>15</v>
      </c>
      <c r="D3" s="12"/>
      <c r="E3" s="12"/>
      <c r="F3" s="10"/>
      <c r="G3" s="10"/>
      <c r="H3" s="10"/>
    </row>
    <row r="4">
      <c r="B4" s="10"/>
      <c r="C4" s="10"/>
      <c r="D4" s="10"/>
      <c r="E4" s="10"/>
      <c r="F4" s="10"/>
      <c r="G4" s="10"/>
      <c r="H4" s="10"/>
    </row>
    <row r="5">
      <c r="B5" s="10"/>
      <c r="C5" s="10"/>
      <c r="D5" s="10"/>
      <c r="E5" s="10"/>
      <c r="F5" s="10"/>
      <c r="G5" s="10"/>
      <c r="H5" s="10"/>
    </row>
    <row r="6" ht="22.5" customHeight="1">
      <c r="B6" s="10"/>
      <c r="C6" s="13" t="s">
        <v>16</v>
      </c>
      <c r="D6" s="13" t="s">
        <v>17</v>
      </c>
      <c r="E6" s="13" t="s">
        <v>18</v>
      </c>
      <c r="F6" s="13" t="s">
        <v>19</v>
      </c>
      <c r="G6" s="13" t="s">
        <v>20</v>
      </c>
      <c r="H6" s="10"/>
    </row>
    <row r="7" ht="22.5" customHeight="1">
      <c r="B7" s="10"/>
      <c r="C7" s="14" t="s">
        <v>21</v>
      </c>
      <c r="D7" s="15">
        <v>9.75</v>
      </c>
      <c r="E7" s="15">
        <v>5.15</v>
      </c>
      <c r="F7" s="15">
        <v>6.0</v>
      </c>
      <c r="G7" s="15">
        <f t="shared" ref="G7:G12" si="1">AVERAGE(D7:F7)</f>
        <v>6.966666667</v>
      </c>
      <c r="H7" s="10"/>
    </row>
    <row r="8" ht="22.5" customHeight="1">
      <c r="B8" s="10"/>
      <c r="C8" s="14" t="s">
        <v>22</v>
      </c>
      <c r="D8" s="15">
        <v>8.0</v>
      </c>
      <c r="E8" s="15">
        <v>9.0</v>
      </c>
      <c r="F8" s="15">
        <v>5.0</v>
      </c>
      <c r="G8" s="15">
        <f t="shared" si="1"/>
        <v>7.333333333</v>
      </c>
      <c r="H8" s="10"/>
    </row>
    <row r="9" ht="22.5" customHeight="1">
      <c r="B9" s="10"/>
      <c r="C9" s="14" t="s">
        <v>23</v>
      </c>
      <c r="D9" s="15">
        <v>7.44</v>
      </c>
      <c r="E9" s="16">
        <v>2.55</v>
      </c>
      <c r="F9" s="15">
        <v>8.0</v>
      </c>
      <c r="G9" s="15">
        <f t="shared" si="1"/>
        <v>5.996666667</v>
      </c>
      <c r="H9" s="10"/>
    </row>
    <row r="10" ht="22.5" customHeight="1">
      <c r="B10" s="10"/>
      <c r="C10" s="14" t="s">
        <v>24</v>
      </c>
      <c r="D10" s="15">
        <v>8.25</v>
      </c>
      <c r="E10" s="15">
        <v>7.2</v>
      </c>
      <c r="F10" s="15">
        <v>7.0</v>
      </c>
      <c r="G10" s="15">
        <f t="shared" si="1"/>
        <v>7.483333333</v>
      </c>
      <c r="H10" s="10"/>
    </row>
    <row r="11" ht="22.5" customHeight="1">
      <c r="B11" s="10"/>
      <c r="C11" s="14" t="s">
        <v>25</v>
      </c>
      <c r="D11" s="16">
        <v>4.0</v>
      </c>
      <c r="E11" s="16">
        <v>4.7</v>
      </c>
      <c r="F11" s="17">
        <v>46062.0</v>
      </c>
      <c r="G11" s="15">
        <f t="shared" si="1"/>
        <v>15356.9</v>
      </c>
      <c r="H11" s="10"/>
    </row>
    <row r="12" ht="22.5" customHeight="1">
      <c r="B12" s="10"/>
      <c r="C12" s="14" t="s">
        <v>26</v>
      </c>
      <c r="D12" s="16">
        <v>1.25</v>
      </c>
      <c r="E12" s="15">
        <v>6.0</v>
      </c>
      <c r="F12" s="15">
        <v>8.0</v>
      </c>
      <c r="G12" s="15">
        <f t="shared" si="1"/>
        <v>5.083333333</v>
      </c>
      <c r="H12" s="10"/>
    </row>
    <row r="13">
      <c r="B13" s="10"/>
      <c r="C13" s="10"/>
      <c r="D13" s="10"/>
      <c r="E13" s="10"/>
      <c r="F13" s="10"/>
      <c r="G13" s="10"/>
      <c r="H13" s="10"/>
    </row>
    <row r="14">
      <c r="B14" s="10"/>
      <c r="C14" s="10"/>
      <c r="D14" s="10"/>
      <c r="E14" s="10"/>
      <c r="F14" s="10"/>
      <c r="G14" s="10"/>
      <c r="H14" s="10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0"/>
      <c r="C2" s="10"/>
      <c r="D2" s="10"/>
      <c r="E2" s="10"/>
      <c r="F2" s="10"/>
      <c r="G2" s="10"/>
      <c r="H2" s="10"/>
      <c r="I2" s="10"/>
    </row>
    <row r="3">
      <c r="B3" s="18" t="s">
        <v>27</v>
      </c>
      <c r="C3" s="19"/>
      <c r="D3" s="19"/>
      <c r="E3" s="19"/>
      <c r="F3" s="19"/>
      <c r="G3" s="19"/>
      <c r="H3" s="19"/>
      <c r="I3" s="20"/>
    </row>
    <row r="4">
      <c r="B4" s="21"/>
      <c r="C4" s="21"/>
      <c r="D4" s="21"/>
      <c r="E4" s="21"/>
      <c r="F4" s="21"/>
      <c r="G4" s="21"/>
      <c r="H4" s="21" t="s">
        <v>28</v>
      </c>
      <c r="I4" s="21" t="s">
        <v>29</v>
      </c>
    </row>
    <row r="5">
      <c r="B5" s="22" t="s">
        <v>30</v>
      </c>
      <c r="C5" s="23" t="s">
        <v>31</v>
      </c>
      <c r="D5" s="24" t="s">
        <v>32</v>
      </c>
      <c r="E5" s="25"/>
      <c r="F5" s="23" t="s">
        <v>31</v>
      </c>
      <c r="G5" s="26" t="s">
        <v>33</v>
      </c>
      <c r="H5" s="23" t="s">
        <v>34</v>
      </c>
      <c r="I5" s="23" t="s">
        <v>35</v>
      </c>
    </row>
    <row r="6">
      <c r="B6" s="27"/>
      <c r="C6" s="23" t="s">
        <v>36</v>
      </c>
      <c r="D6" s="28"/>
      <c r="E6" s="29"/>
      <c r="F6" s="23" t="s">
        <v>37</v>
      </c>
      <c r="G6" s="27"/>
      <c r="H6" s="23" t="s">
        <v>38</v>
      </c>
      <c r="I6" s="23" t="s">
        <v>39</v>
      </c>
    </row>
    <row r="7">
      <c r="B7" s="21" t="s">
        <v>40</v>
      </c>
      <c r="C7" s="30">
        <v>2000.0</v>
      </c>
      <c r="D7" s="31">
        <v>2.0</v>
      </c>
      <c r="E7" s="20"/>
      <c r="F7" s="32">
        <f t="shared" ref="F7:F13" si="1">(C7*D7)/100</f>
        <v>40</v>
      </c>
      <c r="G7" s="33">
        <f t="shared" ref="G7:G13" si="2">D7*30</f>
        <v>60</v>
      </c>
      <c r="H7" s="33">
        <f t="shared" ref="H7:H13" si="3">F7*G7</f>
        <v>2400</v>
      </c>
      <c r="I7" s="33">
        <f t="shared" ref="I7:I13" si="4">H7*0.055</f>
        <v>132</v>
      </c>
    </row>
    <row r="8">
      <c r="B8" s="21" t="s">
        <v>41</v>
      </c>
      <c r="C8" s="32">
        <v>150.0</v>
      </c>
      <c r="D8" s="31">
        <v>5.0</v>
      </c>
      <c r="E8" s="20"/>
      <c r="F8" s="32">
        <f t="shared" si="1"/>
        <v>7.5</v>
      </c>
      <c r="G8" s="33">
        <f t="shared" si="2"/>
        <v>150</v>
      </c>
      <c r="H8" s="33">
        <f t="shared" si="3"/>
        <v>1125</v>
      </c>
      <c r="I8" s="33">
        <f t="shared" si="4"/>
        <v>61.875</v>
      </c>
    </row>
    <row r="9">
      <c r="B9" s="21" t="s">
        <v>42</v>
      </c>
      <c r="C9" s="32">
        <v>300.0</v>
      </c>
      <c r="D9" s="31">
        <v>4.0</v>
      </c>
      <c r="E9" s="20"/>
      <c r="F9" s="32">
        <f t="shared" si="1"/>
        <v>12</v>
      </c>
      <c r="G9" s="33">
        <f t="shared" si="2"/>
        <v>120</v>
      </c>
      <c r="H9" s="33">
        <f t="shared" si="3"/>
        <v>1440</v>
      </c>
      <c r="I9" s="33">
        <f t="shared" si="4"/>
        <v>79.2</v>
      </c>
    </row>
    <row r="10">
      <c r="B10" s="21" t="s">
        <v>43</v>
      </c>
      <c r="C10" s="32">
        <v>1800.0</v>
      </c>
      <c r="D10" s="31">
        <v>1.5</v>
      </c>
      <c r="E10" s="20"/>
      <c r="F10" s="32">
        <f t="shared" si="1"/>
        <v>27</v>
      </c>
      <c r="G10" s="33">
        <f t="shared" si="2"/>
        <v>45</v>
      </c>
      <c r="H10" s="33">
        <f t="shared" si="3"/>
        <v>1215</v>
      </c>
      <c r="I10" s="33">
        <f t="shared" si="4"/>
        <v>66.825</v>
      </c>
    </row>
    <row r="11">
      <c r="B11" s="21" t="s">
        <v>44</v>
      </c>
      <c r="C11" s="32">
        <v>500.0</v>
      </c>
      <c r="D11" s="31">
        <v>5.0</v>
      </c>
      <c r="E11" s="20"/>
      <c r="F11" s="32">
        <f t="shared" si="1"/>
        <v>25</v>
      </c>
      <c r="G11" s="33">
        <f t="shared" si="2"/>
        <v>150</v>
      </c>
      <c r="H11" s="33">
        <f t="shared" si="3"/>
        <v>3750</v>
      </c>
      <c r="I11" s="33">
        <f t="shared" si="4"/>
        <v>206.25</v>
      </c>
    </row>
    <row r="12">
      <c r="B12" s="21" t="s">
        <v>45</v>
      </c>
      <c r="C12" s="32">
        <v>1100.0</v>
      </c>
      <c r="D12" s="31">
        <v>1.0</v>
      </c>
      <c r="E12" s="20"/>
      <c r="F12" s="32">
        <f t="shared" si="1"/>
        <v>11</v>
      </c>
      <c r="G12" s="33">
        <f t="shared" si="2"/>
        <v>30</v>
      </c>
      <c r="H12" s="33">
        <f t="shared" si="3"/>
        <v>330</v>
      </c>
      <c r="I12" s="33">
        <f t="shared" si="4"/>
        <v>18.15</v>
      </c>
    </row>
    <row r="13">
      <c r="B13" s="21" t="s">
        <v>46</v>
      </c>
      <c r="C13" s="32">
        <v>250.0</v>
      </c>
      <c r="D13" s="31">
        <v>4.0</v>
      </c>
      <c r="E13" s="20"/>
      <c r="F13" s="32">
        <f t="shared" si="1"/>
        <v>10</v>
      </c>
      <c r="G13" s="33">
        <f t="shared" si="2"/>
        <v>120</v>
      </c>
      <c r="H13" s="33">
        <f t="shared" si="3"/>
        <v>1200</v>
      </c>
      <c r="I13" s="33">
        <f t="shared" si="4"/>
        <v>66</v>
      </c>
    </row>
    <row r="14">
      <c r="B14" s="10"/>
      <c r="C14" s="10"/>
      <c r="D14" s="10"/>
      <c r="E14" s="10"/>
      <c r="F14" s="10"/>
      <c r="G14" s="10"/>
      <c r="H14" s="10"/>
      <c r="I14" s="10"/>
    </row>
    <row r="15">
      <c r="B15" s="10"/>
      <c r="C15" s="10"/>
      <c r="D15" s="10"/>
      <c r="E15" s="10"/>
      <c r="F15" s="10"/>
      <c r="G15" s="10"/>
      <c r="H15" s="34" t="s">
        <v>47</v>
      </c>
      <c r="I15" s="33">
        <f>SUM(I7:I13)</f>
        <v>630.3</v>
      </c>
    </row>
    <row r="16">
      <c r="B16" s="10"/>
      <c r="C16" s="10"/>
      <c r="D16" s="10"/>
      <c r="E16" s="10"/>
      <c r="F16" s="10"/>
      <c r="G16" s="11"/>
      <c r="H16" s="11"/>
      <c r="I16" s="11"/>
    </row>
    <row r="17">
      <c r="B17" s="10"/>
      <c r="C17" s="10"/>
      <c r="D17" s="10"/>
      <c r="E17" s="10"/>
      <c r="F17" s="10"/>
      <c r="G17" s="10"/>
      <c r="H17" s="34" t="s">
        <v>48</v>
      </c>
      <c r="I17" s="33">
        <f>I15*0.16</f>
        <v>100.848</v>
      </c>
    </row>
    <row r="18">
      <c r="B18" s="10"/>
      <c r="C18" s="10"/>
      <c r="D18" s="10"/>
      <c r="E18" s="10"/>
      <c r="F18" s="10"/>
      <c r="G18" s="10"/>
      <c r="H18" s="10"/>
      <c r="I18" s="10"/>
    </row>
    <row r="19">
      <c r="B19" s="10"/>
      <c r="C19" s="10"/>
      <c r="D19" s="10"/>
      <c r="E19" s="10"/>
      <c r="F19" s="10"/>
      <c r="G19" s="35" t="s">
        <v>49</v>
      </c>
      <c r="H19" s="20"/>
      <c r="I19" s="33">
        <f>SUM(I15+I17)</f>
        <v>731.148</v>
      </c>
    </row>
    <row r="20">
      <c r="B20" s="10"/>
      <c r="C20" s="10"/>
      <c r="D20" s="10"/>
      <c r="E20" s="10"/>
      <c r="F20" s="10"/>
      <c r="G20" s="10"/>
      <c r="H20" s="10"/>
      <c r="I20" s="10"/>
    </row>
  </sheetData>
  <mergeCells count="12">
    <mergeCell ref="D10:E10"/>
    <mergeCell ref="D11:E11"/>
    <mergeCell ref="D12:E12"/>
    <mergeCell ref="D13:E13"/>
    <mergeCell ref="G19:H19"/>
    <mergeCell ref="B3:I3"/>
    <mergeCell ref="B5:B6"/>
    <mergeCell ref="D5:E6"/>
    <mergeCell ref="G5:G6"/>
    <mergeCell ref="D7:E7"/>
    <mergeCell ref="D8:E8"/>
    <mergeCell ref="D9:E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6" t="s">
        <v>50</v>
      </c>
      <c r="C3" s="37"/>
      <c r="D3" s="38"/>
      <c r="E3" s="39"/>
    </row>
    <row r="4">
      <c r="B4" s="40" t="s">
        <v>51</v>
      </c>
      <c r="C4" s="41"/>
    </row>
    <row r="6" ht="49.5" customHeight="1">
      <c r="B6" s="42" t="s">
        <v>52</v>
      </c>
      <c r="C6" s="42" t="s">
        <v>53</v>
      </c>
      <c r="D6" s="43" t="s">
        <v>54</v>
      </c>
      <c r="E6" s="43" t="s">
        <v>55</v>
      </c>
      <c r="F6" s="42" t="s">
        <v>56</v>
      </c>
      <c r="G6" s="43" t="s">
        <v>57</v>
      </c>
    </row>
    <row r="7">
      <c r="B7" s="3" t="s">
        <v>58</v>
      </c>
      <c r="C7" s="44">
        <v>65000.0</v>
      </c>
      <c r="D7" s="6">
        <v>56000.0</v>
      </c>
      <c r="E7" s="45">
        <f t="shared" ref="E7:E12" si="1">D7*100/C7</f>
        <v>86.15384615</v>
      </c>
      <c r="F7" s="45">
        <f t="shared" ref="F7:F12" si="2">C7-D7</f>
        <v>9000</v>
      </c>
      <c r="G7" s="45" t="str">
        <f t="shared" ref="G7:G12" si="3">IF(B7&gt;=5,"si","no")</f>
        <v>si</v>
      </c>
    </row>
    <row r="8">
      <c r="B8" s="3" t="s">
        <v>59</v>
      </c>
      <c r="C8" s="44">
        <v>57000.0</v>
      </c>
      <c r="D8" s="6">
        <v>30798.0</v>
      </c>
      <c r="E8" s="45">
        <f t="shared" si="1"/>
        <v>54.03157895</v>
      </c>
      <c r="F8" s="45">
        <f t="shared" si="2"/>
        <v>26202</v>
      </c>
      <c r="G8" s="45" t="str">
        <f t="shared" si="3"/>
        <v>si</v>
      </c>
    </row>
    <row r="9">
      <c r="B9" s="3" t="s">
        <v>60</v>
      </c>
      <c r="C9" s="44">
        <v>45000.0</v>
      </c>
      <c r="D9" s="6">
        <v>20000.0</v>
      </c>
      <c r="E9" s="45">
        <f t="shared" si="1"/>
        <v>44.44444444</v>
      </c>
      <c r="F9" s="45">
        <f t="shared" si="2"/>
        <v>25000</v>
      </c>
      <c r="G9" s="45" t="str">
        <f t="shared" si="3"/>
        <v>si</v>
      </c>
    </row>
    <row r="10">
      <c r="B10" s="3" t="s">
        <v>61</v>
      </c>
      <c r="C10" s="44">
        <v>30000.0</v>
      </c>
      <c r="D10" s="6">
        <v>10100.0</v>
      </c>
      <c r="E10" s="45">
        <f t="shared" si="1"/>
        <v>33.66666667</v>
      </c>
      <c r="F10" s="45">
        <f t="shared" si="2"/>
        <v>19900</v>
      </c>
      <c r="G10" s="45" t="str">
        <f t="shared" si="3"/>
        <v>si</v>
      </c>
    </row>
    <row r="11">
      <c r="B11" s="3" t="s">
        <v>62</v>
      </c>
      <c r="C11" s="44">
        <v>25000.0</v>
      </c>
      <c r="D11" s="6">
        <v>18396.0</v>
      </c>
      <c r="E11" s="45">
        <f t="shared" si="1"/>
        <v>73.584</v>
      </c>
      <c r="F11" s="45">
        <f t="shared" si="2"/>
        <v>6604</v>
      </c>
      <c r="G11" s="45" t="str">
        <f t="shared" si="3"/>
        <v>si</v>
      </c>
    </row>
    <row r="12">
      <c r="B12" s="3" t="s">
        <v>63</v>
      </c>
      <c r="C12" s="44">
        <v>20000.0</v>
      </c>
      <c r="D12" s="6">
        <v>10090.0</v>
      </c>
      <c r="E12" s="45">
        <f t="shared" si="1"/>
        <v>50.45</v>
      </c>
      <c r="F12" s="45">
        <f t="shared" si="2"/>
        <v>9910</v>
      </c>
      <c r="G12" s="45" t="str">
        <f t="shared" si="3"/>
        <v>si</v>
      </c>
    </row>
    <row r="14" ht="40.5" customHeight="1">
      <c r="F14" s="46" t="s">
        <v>64</v>
      </c>
      <c r="G14" s="47">
        <f>COUNTIF(G7:G12,"si")</f>
        <v>6</v>
      </c>
    </row>
    <row r="15">
      <c r="F15" s="46" t="s">
        <v>65</v>
      </c>
      <c r="G15" s="47">
        <f>COUNTIF(G8:G13,"no")</f>
        <v>0</v>
      </c>
    </row>
    <row r="16">
      <c r="G16" s="48"/>
    </row>
    <row r="17">
      <c r="F17" s="49" t="s">
        <v>66</v>
      </c>
      <c r="G17" s="47" t="str">
        <f>IF(G14&gt;G15,"si","no")</f>
        <v>si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7"/>
    </row>
    <row r="3">
      <c r="B3" s="50" t="s">
        <v>67</v>
      </c>
      <c r="C3" s="51"/>
      <c r="D3" s="52"/>
    </row>
    <row r="5" ht="24.75" customHeight="1">
      <c r="B5" s="53" t="s">
        <v>68</v>
      </c>
      <c r="C5" s="53" t="s">
        <v>69</v>
      </c>
      <c r="D5" s="53" t="s">
        <v>70</v>
      </c>
      <c r="E5" s="53" t="s">
        <v>71</v>
      </c>
    </row>
    <row r="6">
      <c r="B6" s="54"/>
      <c r="C6" s="54"/>
      <c r="D6" s="54"/>
      <c r="E6" s="54"/>
    </row>
    <row r="7">
      <c r="B7" s="54"/>
      <c r="C7" s="54"/>
      <c r="D7" s="54"/>
      <c r="E7" s="54"/>
    </row>
    <row r="8">
      <c r="B8" s="54"/>
      <c r="C8" s="54"/>
      <c r="D8" s="54"/>
      <c r="E8" s="54"/>
    </row>
    <row r="9">
      <c r="B9" s="54"/>
      <c r="C9" s="54"/>
      <c r="D9" s="54"/>
      <c r="E9" s="54"/>
    </row>
    <row r="10">
      <c r="B10" s="54"/>
      <c r="C10" s="54"/>
      <c r="D10" s="54"/>
      <c r="E10" s="54"/>
    </row>
    <row r="11">
      <c r="B11" s="54"/>
      <c r="C11" s="54"/>
      <c r="D11" s="54"/>
      <c r="E11" s="54"/>
    </row>
    <row r="12">
      <c r="B12" s="54"/>
      <c r="C12" s="54"/>
      <c r="D12" s="54"/>
      <c r="E12" s="54"/>
    </row>
    <row r="13">
      <c r="B13" s="54"/>
      <c r="C13" s="54"/>
      <c r="D13" s="54"/>
      <c r="E13" s="54"/>
    </row>
    <row r="14">
      <c r="B14" s="54"/>
      <c r="C14" s="54"/>
      <c r="D14" s="54"/>
      <c r="E14" s="54"/>
    </row>
    <row r="15">
      <c r="B15" s="54"/>
      <c r="C15" s="54"/>
      <c r="D15" s="54"/>
      <c r="E15" s="54"/>
    </row>
    <row r="16">
      <c r="B16" s="54"/>
      <c r="C16" s="54"/>
      <c r="D16" s="54"/>
      <c r="E16" s="54"/>
    </row>
  </sheetData>
  <drawing r:id="rId1"/>
</worksheet>
</file>
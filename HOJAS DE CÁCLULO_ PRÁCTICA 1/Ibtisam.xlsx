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  <sheet state="visible" name="Hoja 3" sheetId="3" r:id="rId7"/>
    <sheet state="visible" name="Hoja 4" sheetId="4" r:id="rId8"/>
    <sheet state="visible" name="Hoja 5" sheetId="5" r:id="rId9"/>
  </sheets>
  <definedNames/>
  <calcPr/>
</workbook>
</file>

<file path=xl/sharedStrings.xml><?xml version="1.0" encoding="utf-8"?>
<sst xmlns="http://schemas.openxmlformats.org/spreadsheetml/2006/main" count="76" uniqueCount="66">
  <si>
    <t>NÚMERO</t>
  </si>
  <si>
    <t>OPERACION</t>
  </si>
  <si>
    <t>TABLA</t>
  </si>
  <si>
    <t xml:space="preserve">RESULTADO </t>
  </si>
  <si>
    <t>X</t>
  </si>
  <si>
    <t>ENERO</t>
  </si>
  <si>
    <t>FEBRERO</t>
  </si>
  <si>
    <t>MARZO</t>
  </si>
  <si>
    <t xml:space="preserve">TOTAL TRIMESTRE </t>
  </si>
  <si>
    <t>GIMNASIO</t>
  </si>
  <si>
    <t>MAQUILLAJE</t>
  </si>
  <si>
    <t>ROPA</t>
  </si>
  <si>
    <t>COMIDA</t>
  </si>
  <si>
    <t>TOTAL</t>
  </si>
  <si>
    <t>TABLA DE NOTAS DE MIS COMPAÑEROS</t>
  </si>
  <si>
    <t>NOMBRE</t>
  </si>
  <si>
    <t>NOTA 1</t>
  </si>
  <si>
    <t>NOTA 2</t>
  </si>
  <si>
    <t>NOTA 3</t>
  </si>
  <si>
    <t>NOTA MEDIA</t>
  </si>
  <si>
    <t>HAJAR</t>
  </si>
  <si>
    <t>YASSMIN</t>
  </si>
  <si>
    <t>MARIAM</t>
  </si>
  <si>
    <t>CHAIMA</t>
  </si>
  <si>
    <t>ASMA</t>
  </si>
  <si>
    <t>ISABEL</t>
  </si>
  <si>
    <r>
      <rPr>
        <rFont val="Arial"/>
        <color theme="1"/>
      </rPr>
      <t xml:space="preserve">                            </t>
    </r>
    <r>
      <rPr>
        <rFont val="Arial"/>
        <color theme="1"/>
        <sz val="15.0"/>
      </rPr>
      <t>CALCULA DE LA FACTURA DE LA COMPAÑIA ELECTICA</t>
    </r>
    <r>
      <rPr>
        <rFont val="Arial"/>
        <color theme="1"/>
      </rPr>
      <t xml:space="preserve"> </t>
    </r>
  </si>
  <si>
    <t>KWH.=</t>
  </si>
  <si>
    <t>APARATO</t>
  </si>
  <si>
    <t>POTENCIA</t>
  </si>
  <si>
    <t xml:space="preserve">     HARAS DE      FUNCIONAMIENTO             DIRIAS</t>
  </si>
  <si>
    <t>HARAS MENSUALES</t>
  </si>
  <si>
    <t>ENRRGIA</t>
  </si>
  <si>
    <t>COSTE</t>
  </si>
  <si>
    <t>WATIOS</t>
  </si>
  <si>
    <t>KW</t>
  </si>
  <si>
    <t>KWh</t>
  </si>
  <si>
    <t>€</t>
  </si>
  <si>
    <t>Lavadoea</t>
  </si>
  <si>
    <t>Televisor</t>
  </si>
  <si>
    <t>Frigorifico</t>
  </si>
  <si>
    <t>lavavajillas</t>
  </si>
  <si>
    <t>iluminacion</t>
  </si>
  <si>
    <t>Plancha</t>
  </si>
  <si>
    <t>Ordenador</t>
  </si>
  <si>
    <t xml:space="preserve">             TOTAL:</t>
  </si>
  <si>
    <t xml:space="preserve">           IVA 16%:</t>
  </si>
  <si>
    <t xml:space="preserve">                         TOTAL CON IVA:</t>
  </si>
  <si>
    <t>COMPAÑIA ESPAÑOLA DE CAMPOS DE FUTBOL</t>
  </si>
  <si>
    <t>Estudio de rentabilidad año 2014</t>
  </si>
  <si>
    <t>Localidad</t>
  </si>
  <si>
    <t>Nº de plazas</t>
  </si>
  <si>
    <t>Promedio de ocupacion</t>
  </si>
  <si>
    <t>Porcentaje de ocupacion</t>
  </si>
  <si>
    <t>Diferencia</t>
  </si>
  <si>
    <t>¿Es rentable? SI/NO</t>
  </si>
  <si>
    <t>Madrid</t>
  </si>
  <si>
    <t>Barcelona</t>
  </si>
  <si>
    <t>Valencia</t>
  </si>
  <si>
    <t>Zaragoza</t>
  </si>
  <si>
    <t>Sevilla</t>
  </si>
  <si>
    <t>Bilbao</t>
  </si>
  <si>
    <t>Nº campos rentables:</t>
  </si>
  <si>
    <t>Nº campos no rentables:</t>
  </si>
  <si>
    <t>¿Es restable en conjunto?: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</si>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</sst>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/>
    <font>
      <sz val="13.0"/>
      <color theme="1"/>
      <name val="Arial"/>
      <scheme val="minor"/>
    </font>
    <font>
      <sz val="11.0"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674EA7"/>
        <bgColor rgb="FF674EA7"/>
      </patternFill>
    </fill>
    <fill>
      <patternFill patternType="solid">
        <fgColor rgb="FF990000"/>
        <bgColor rgb="FF990000"/>
      </patternFill>
    </fill>
    <fill>
      <patternFill patternType="solid">
        <fgColor rgb="FFCC0000"/>
        <bgColor rgb="FFCC0000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CD8FAA"/>
        <bgColor rgb="FFCD8FAA"/>
      </patternFill>
    </fill>
    <fill>
      <patternFill patternType="solid">
        <fgColor rgb="FFC27BA0"/>
        <bgColor rgb="FFC27BA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3" fontId="1" numFmtId="0" xfId="0" applyAlignment="1" applyBorder="1" applyFill="1" applyFont="1">
      <alignment vertical="bottom"/>
    </xf>
    <xf borderId="1" fillId="0" fontId="1" numFmtId="0" xfId="0" applyAlignment="1" applyBorder="1" applyFont="1">
      <alignment shrinkToFit="0" vertical="bottom" wrapText="1"/>
    </xf>
    <xf borderId="1" fillId="4" fontId="1" numFmtId="0" xfId="0" applyAlignment="1" applyBorder="1" applyFill="1" applyFont="1">
      <alignment shrinkToFit="0" vertical="bottom" wrapText="1"/>
    </xf>
    <xf borderId="1" fillId="0" fontId="1" numFmtId="0" xfId="0" applyAlignment="1" applyBorder="1" applyFont="1">
      <alignment horizontal="right" readingOrder="0" vertical="bottom"/>
    </xf>
    <xf borderId="1" fillId="5" fontId="1" numFmtId="0" xfId="0" applyAlignment="1" applyBorder="1" applyFill="1" applyFont="1">
      <alignment horizontal="right" vertical="bottom"/>
    </xf>
    <xf borderId="1" fillId="4" fontId="1" numFmtId="0" xfId="0" applyAlignment="1" applyBorder="1" applyFont="1">
      <alignment readingOrder="0" shrinkToFit="0" vertical="bottom" wrapText="1"/>
    </xf>
    <xf borderId="0" fillId="6" fontId="2" numFmtId="0" xfId="0" applyAlignment="1" applyFill="1" applyFont="1">
      <alignment readingOrder="0"/>
    </xf>
    <xf borderId="0" fillId="6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7" fontId="2" numFmtId="0" xfId="0" applyAlignment="1" applyFill="1" applyFont="1">
      <alignment readingOrder="0"/>
    </xf>
    <xf borderId="2" fillId="0" fontId="2" numFmtId="0" xfId="0" applyBorder="1" applyFont="1"/>
    <xf borderId="3" fillId="0" fontId="3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readingOrder="0"/>
    </xf>
    <xf borderId="5" fillId="7" fontId="4" numFmtId="0" xfId="0" applyAlignment="1" applyBorder="1" applyFont="1">
      <alignment horizontal="center" readingOrder="0" vertical="center"/>
    </xf>
    <xf borderId="1" fillId="7" fontId="2" numFmtId="0" xfId="0" applyAlignment="1" applyBorder="1" applyFont="1">
      <alignment readingOrder="0" vertical="center"/>
    </xf>
    <xf borderId="5" fillId="7" fontId="2" numFmtId="0" xfId="0" applyAlignment="1" applyBorder="1" applyFont="1">
      <alignment horizontal="center" readingOrder="0" shrinkToFit="0" vertical="bottom" wrapText="1"/>
    </xf>
    <xf borderId="1" fillId="7" fontId="2" numFmtId="0" xfId="0" applyAlignment="1" applyBorder="1" applyFont="1">
      <alignment horizontal="center" readingOrder="0" vertical="center"/>
    </xf>
    <xf borderId="5" fillId="7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6" fillId="0" fontId="3" numFmtId="0" xfId="0" applyBorder="1" applyFont="1"/>
    <xf borderId="1" fillId="7" fontId="2" numFmtId="0" xfId="0" applyAlignment="1" applyBorder="1" applyFont="1">
      <alignment horizontal="center" readingOrder="0"/>
    </xf>
    <xf borderId="1" fillId="8" fontId="2" numFmtId="0" xfId="0" applyBorder="1" applyFill="1" applyFont="1"/>
    <xf borderId="1" fillId="7" fontId="2" numFmtId="0" xfId="0" applyAlignment="1" applyBorder="1" applyFont="1">
      <alignment readingOrder="0"/>
    </xf>
    <xf borderId="2" fillId="7" fontId="2" numFmtId="0" xfId="0" applyAlignment="1" applyBorder="1" applyFont="1">
      <alignment readingOrder="0"/>
    </xf>
    <xf borderId="0" fillId="9" fontId="5" numFmtId="0" xfId="0" applyAlignment="1" applyFill="1" applyFont="1">
      <alignment horizontal="center" readingOrder="0" textRotation="0"/>
    </xf>
    <xf borderId="0" fillId="10" fontId="2" numFmtId="0" xfId="0" applyAlignment="1" applyFill="1" applyFont="1">
      <alignment horizontal="center" readingOrder="0"/>
    </xf>
    <xf borderId="1" fillId="11" fontId="2" numFmtId="0" xfId="0" applyAlignment="1" applyBorder="1" applyFill="1" applyFont="1">
      <alignment horizontal="center" readingOrder="0" vertical="center"/>
    </xf>
    <xf borderId="1" fillId="11" fontId="2" numFmtId="0" xfId="0" applyAlignment="1" applyBorder="1" applyFont="1">
      <alignment horizontal="center" readingOrder="0" shrinkToFit="0" vertical="center" wrapText="1"/>
    </xf>
    <xf borderId="1" fillId="12" fontId="2" numFmtId="0" xfId="0" applyAlignment="1" applyBorder="1" applyFill="1" applyFont="1">
      <alignment readingOrder="0"/>
    </xf>
    <xf borderId="1" fillId="13" fontId="2" numFmtId="0" xfId="0" applyAlignment="1" applyBorder="1" applyFill="1" applyFont="1">
      <alignment readingOrder="0"/>
    </xf>
    <xf borderId="1" fillId="13" fontId="2" numFmtId="0" xfId="0" applyBorder="1" applyFont="1"/>
    <xf borderId="0" fillId="0" fontId="2" numFmtId="0" xfId="0" applyAlignment="1" applyFont="1">
      <alignment horizontal="right" readingOrder="0"/>
    </xf>
    <xf borderId="1" fillId="0" fontId="2" numFmtId="0" xfId="0" applyBorder="1" applyFont="1"/>
    <xf borderId="0" fillId="14" fontId="2" numFmtId="0" xfId="0" applyFill="1" applyFont="1"/>
    <xf borderId="1" fillId="0" fontId="2" numFmtId="0" xfId="0" applyAlignment="1" applyBorder="1" applyFont="1">
      <alignment horizontal="right"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  <tableStyles count="1">
    <tableStyle count="4" pivot="0" name="Hoja 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5:F11" displayName="Tabla_2" name="Tabla_2" id="1">
  <tableColumns count="5">
    <tableColumn name="NOMBRE" id="1"/>
    <tableColumn name="NOTA 1" id="2"/>
    <tableColumn name="NOTA 2" id="3"/>
    <tableColumn name="NOTA 3" id="4"/>
    <tableColumn name="NOTA MEDIA" id="5"/>
  </tableColumns>
  <tableStyleInfo name="Hoja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1" t="s">
        <v>1</v>
      </c>
      <c r="D2" s="1" t="s">
        <v>2</v>
      </c>
      <c r="E2" s="1" t="s">
        <v>3</v>
      </c>
    </row>
    <row r="3">
      <c r="B3" s="2">
        <v>545264.0</v>
      </c>
      <c r="C3" s="3" t="s">
        <v>4</v>
      </c>
      <c r="D3" s="2">
        <v>1.0</v>
      </c>
      <c r="E3" s="2">
        <f t="shared" ref="E3:E12" si="1">B3*D3</f>
        <v>545264</v>
      </c>
    </row>
    <row r="4">
      <c r="B4" s="2">
        <f t="shared" ref="B4:B12" si="2">B3</f>
        <v>545264</v>
      </c>
      <c r="C4" s="3" t="s">
        <v>4</v>
      </c>
      <c r="D4" s="2">
        <f t="shared" ref="D4:D12" si="3">D3+1</f>
        <v>2</v>
      </c>
      <c r="E4" s="2">
        <f t="shared" si="1"/>
        <v>1090528</v>
      </c>
    </row>
    <row r="5">
      <c r="B5" s="2">
        <f t="shared" si="2"/>
        <v>545264</v>
      </c>
      <c r="C5" s="3" t="s">
        <v>4</v>
      </c>
      <c r="D5" s="2">
        <f t="shared" si="3"/>
        <v>3</v>
      </c>
      <c r="E5" s="2">
        <f t="shared" si="1"/>
        <v>1635792</v>
      </c>
    </row>
    <row r="6">
      <c r="B6" s="2">
        <f t="shared" si="2"/>
        <v>545264</v>
      </c>
      <c r="C6" s="3" t="s">
        <v>4</v>
      </c>
      <c r="D6" s="2">
        <f t="shared" si="3"/>
        <v>4</v>
      </c>
      <c r="E6" s="2">
        <f t="shared" si="1"/>
        <v>2181056</v>
      </c>
    </row>
    <row r="7">
      <c r="B7" s="2">
        <f t="shared" si="2"/>
        <v>545264</v>
      </c>
      <c r="C7" s="3" t="s">
        <v>4</v>
      </c>
      <c r="D7" s="2">
        <f t="shared" si="3"/>
        <v>5</v>
      </c>
      <c r="E7" s="2">
        <f t="shared" si="1"/>
        <v>2726320</v>
      </c>
    </row>
    <row r="8">
      <c r="B8" s="2">
        <f t="shared" si="2"/>
        <v>545264</v>
      </c>
      <c r="C8" s="3" t="s">
        <v>4</v>
      </c>
      <c r="D8" s="2">
        <f t="shared" si="3"/>
        <v>6</v>
      </c>
      <c r="E8" s="2">
        <f t="shared" si="1"/>
        <v>3271584</v>
      </c>
    </row>
    <row r="9">
      <c r="B9" s="2">
        <f t="shared" si="2"/>
        <v>545264</v>
      </c>
      <c r="C9" s="3" t="s">
        <v>4</v>
      </c>
      <c r="D9" s="2">
        <f t="shared" si="3"/>
        <v>7</v>
      </c>
      <c r="E9" s="2">
        <f t="shared" si="1"/>
        <v>3816848</v>
      </c>
    </row>
    <row r="10">
      <c r="B10" s="2">
        <f t="shared" si="2"/>
        <v>545264</v>
      </c>
      <c r="C10" s="3" t="s">
        <v>4</v>
      </c>
      <c r="D10" s="2">
        <f t="shared" si="3"/>
        <v>8</v>
      </c>
      <c r="E10" s="2">
        <f t="shared" si="1"/>
        <v>4362112</v>
      </c>
    </row>
    <row r="11">
      <c r="B11" s="2">
        <f t="shared" si="2"/>
        <v>545264</v>
      </c>
      <c r="C11" s="3" t="s">
        <v>4</v>
      </c>
      <c r="D11" s="2">
        <f t="shared" si="3"/>
        <v>9</v>
      </c>
      <c r="E11" s="2">
        <f t="shared" si="1"/>
        <v>4907376</v>
      </c>
    </row>
    <row r="12">
      <c r="B12" s="2">
        <f t="shared" si="2"/>
        <v>545264</v>
      </c>
      <c r="C12" s="3" t="s">
        <v>4</v>
      </c>
      <c r="D12" s="2">
        <f t="shared" si="3"/>
        <v>10</v>
      </c>
      <c r="E12" s="2">
        <f t="shared" si="1"/>
        <v>5452640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4"/>
      <c r="C2" s="5" t="s">
        <v>5</v>
      </c>
      <c r="D2" s="5" t="s">
        <v>6</v>
      </c>
      <c r="E2" s="5" t="s">
        <v>7</v>
      </c>
      <c r="F2" s="4"/>
      <c r="G2" s="6" t="s">
        <v>8</v>
      </c>
    </row>
    <row r="3">
      <c r="B3" s="7" t="s">
        <v>9</v>
      </c>
      <c r="C3" s="8">
        <v>40.0</v>
      </c>
      <c r="D3" s="8">
        <v>40.0</v>
      </c>
      <c r="E3" s="8">
        <v>40.0</v>
      </c>
      <c r="F3" s="4"/>
      <c r="G3" s="9">
        <f t="shared" ref="G3:G6" si="1">SUM(C3:E3)</f>
        <v>120</v>
      </c>
    </row>
    <row r="4">
      <c r="B4" s="10" t="s">
        <v>10</v>
      </c>
      <c r="C4" s="8">
        <v>40.0</v>
      </c>
      <c r="D4" s="8">
        <v>30.0</v>
      </c>
      <c r="E4" s="8">
        <v>20.0</v>
      </c>
      <c r="F4" s="4"/>
      <c r="G4" s="9">
        <f t="shared" si="1"/>
        <v>90</v>
      </c>
    </row>
    <row r="5">
      <c r="B5" s="10" t="s">
        <v>11</v>
      </c>
      <c r="C5" s="8">
        <v>70.0</v>
      </c>
      <c r="D5" s="8">
        <v>90.0</v>
      </c>
      <c r="E5" s="8">
        <v>100.0</v>
      </c>
      <c r="F5" s="4"/>
      <c r="G5" s="9">
        <f t="shared" si="1"/>
        <v>260</v>
      </c>
    </row>
    <row r="6">
      <c r="B6" s="10" t="s">
        <v>12</v>
      </c>
      <c r="C6" s="8">
        <v>120.0</v>
      </c>
      <c r="D6" s="8">
        <v>115.0</v>
      </c>
      <c r="E6" s="8">
        <v>198.0</v>
      </c>
      <c r="F6" s="4"/>
      <c r="G6" s="9">
        <f t="shared" si="1"/>
        <v>433</v>
      </c>
    </row>
    <row r="7">
      <c r="F7" s="4"/>
    </row>
    <row r="8">
      <c r="B8" s="4"/>
      <c r="C8" s="4"/>
      <c r="D8" s="4"/>
      <c r="E8" s="4"/>
      <c r="F8" s="4"/>
      <c r="G8" s="4"/>
    </row>
    <row r="9">
      <c r="B9" s="3" t="s">
        <v>13</v>
      </c>
      <c r="C9" s="9">
        <f t="shared" ref="C9:E9" si="2">SUM(C3:C7)</f>
        <v>270</v>
      </c>
      <c r="D9" s="9">
        <f t="shared" si="2"/>
        <v>275</v>
      </c>
      <c r="E9" s="9">
        <f t="shared" si="2"/>
        <v>358</v>
      </c>
      <c r="F9" s="4"/>
      <c r="G9" s="9">
        <f>SUM(C9:E9)</f>
        <v>903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1" t="s">
        <v>14</v>
      </c>
      <c r="C2" s="12"/>
      <c r="D2" s="12"/>
    </row>
    <row r="3">
      <c r="B3" s="13"/>
      <c r="C3" s="13"/>
      <c r="D3" s="13"/>
      <c r="E3" s="13"/>
      <c r="F3" s="13"/>
    </row>
    <row r="4">
      <c r="B4" s="13"/>
      <c r="C4" s="13"/>
      <c r="D4" s="13"/>
      <c r="E4" s="13"/>
      <c r="F4" s="13"/>
    </row>
    <row r="5" ht="22.5" customHeight="1">
      <c r="B5" s="14" t="s">
        <v>15</v>
      </c>
      <c r="C5" s="14" t="s">
        <v>16</v>
      </c>
      <c r="D5" s="14" t="s">
        <v>17</v>
      </c>
      <c r="E5" s="14" t="s">
        <v>18</v>
      </c>
      <c r="F5" s="14" t="s">
        <v>19</v>
      </c>
    </row>
    <row r="6" ht="22.5" customHeight="1">
      <c r="B6" s="15" t="s">
        <v>20</v>
      </c>
      <c r="C6" s="15">
        <v>7.0</v>
      </c>
      <c r="D6" s="15">
        <v>8.0</v>
      </c>
      <c r="E6" s="15">
        <v>5.0</v>
      </c>
      <c r="F6" s="16">
        <f t="shared" ref="F6:F11" si="1">AVERAGE(C6:E6)</f>
        <v>6.666666667</v>
      </c>
    </row>
    <row r="7" ht="22.5" customHeight="1">
      <c r="B7" s="15" t="s">
        <v>21</v>
      </c>
      <c r="C7" s="15">
        <v>9.75</v>
      </c>
      <c r="D7" s="15">
        <v>5.15</v>
      </c>
      <c r="E7" s="15">
        <v>6.0</v>
      </c>
      <c r="F7" s="16">
        <f t="shared" si="1"/>
        <v>6.966666667</v>
      </c>
    </row>
    <row r="8" ht="22.5" customHeight="1">
      <c r="B8" s="15" t="s">
        <v>22</v>
      </c>
      <c r="C8" s="15">
        <v>7.44</v>
      </c>
      <c r="D8" s="15">
        <v>2.55</v>
      </c>
      <c r="E8" s="15">
        <v>8.0</v>
      </c>
      <c r="F8" s="16">
        <f t="shared" si="1"/>
        <v>5.996666667</v>
      </c>
    </row>
    <row r="9" ht="22.5" customHeight="1">
      <c r="B9" s="15" t="s">
        <v>23</v>
      </c>
      <c r="C9" s="15">
        <v>8.25</v>
      </c>
      <c r="D9" s="15">
        <v>7.2</v>
      </c>
      <c r="E9" s="15">
        <v>7.0</v>
      </c>
      <c r="F9" s="16">
        <f t="shared" si="1"/>
        <v>7.483333333</v>
      </c>
    </row>
    <row r="10" ht="22.5" customHeight="1">
      <c r="B10" s="15" t="s">
        <v>24</v>
      </c>
      <c r="C10" s="15">
        <v>1.25</v>
      </c>
      <c r="D10" s="15">
        <v>6.0</v>
      </c>
      <c r="E10" s="15">
        <v>8.0</v>
      </c>
      <c r="F10" s="16">
        <f t="shared" si="1"/>
        <v>5.083333333</v>
      </c>
    </row>
    <row r="11" ht="22.5" customHeight="1">
      <c r="B11" s="15" t="s">
        <v>25</v>
      </c>
      <c r="C11" s="15">
        <v>9.0</v>
      </c>
      <c r="D11" s="15">
        <v>8.5</v>
      </c>
      <c r="E11" s="15">
        <v>9.5</v>
      </c>
      <c r="F11" s="16">
        <f t="shared" si="1"/>
        <v>9</v>
      </c>
    </row>
  </sheetData>
  <conditionalFormatting sqref="C6:F11">
    <cfRule type="cellIs" dxfId="5" priority="1" operator="greaterThanOrEqual">
      <formula>5</formula>
    </cfRule>
  </conditionalFormatting>
  <conditionalFormatting sqref="C6:F11">
    <cfRule type="cellIs" dxfId="6" priority="2" operator="lessThan">
      <formula>5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63"/>
  </cols>
  <sheetData>
    <row r="2" ht="18.75" customHeight="1"/>
    <row r="3" ht="35.25" customHeight="1">
      <c r="B3" s="17" t="s">
        <v>26</v>
      </c>
    </row>
    <row r="4">
      <c r="B4" s="18"/>
      <c r="C4" s="19"/>
      <c r="D4" s="19"/>
      <c r="E4" s="19"/>
      <c r="F4" s="20"/>
      <c r="G4" s="21" t="s">
        <v>27</v>
      </c>
      <c r="H4" s="21">
        <v>0.055</v>
      </c>
    </row>
    <row r="5" ht="24.0" customHeight="1">
      <c r="B5" s="22" t="s">
        <v>28</v>
      </c>
      <c r="C5" s="23" t="s">
        <v>29</v>
      </c>
      <c r="D5" s="24" t="s">
        <v>30</v>
      </c>
      <c r="E5" s="25" t="s">
        <v>29</v>
      </c>
      <c r="F5" s="26" t="s">
        <v>31</v>
      </c>
      <c r="G5" s="25" t="s">
        <v>32</v>
      </c>
      <c r="H5" s="25" t="s">
        <v>33</v>
      </c>
      <c r="J5" s="27"/>
    </row>
    <row r="6">
      <c r="B6" s="28"/>
      <c r="C6" s="23" t="s">
        <v>34</v>
      </c>
      <c r="D6" s="28"/>
      <c r="E6" s="29" t="s">
        <v>35</v>
      </c>
      <c r="F6" s="28"/>
      <c r="G6" s="25" t="s">
        <v>36</v>
      </c>
      <c r="H6" s="25" t="s">
        <v>37</v>
      </c>
    </row>
    <row r="7">
      <c r="B7" s="21" t="s">
        <v>38</v>
      </c>
      <c r="C7" s="21">
        <v>2000.0</v>
      </c>
      <c r="D7" s="21">
        <v>2.0</v>
      </c>
      <c r="E7" s="30">
        <f t="shared" ref="E7:E13" si="1">(C7*D7)/100</f>
        <v>40</v>
      </c>
      <c r="F7" s="30">
        <f t="shared" ref="F7:F13" si="2">D7*30</f>
        <v>60</v>
      </c>
      <c r="G7" s="30">
        <f t="shared" ref="G7:G13" si="3">E7*F7</f>
        <v>2400</v>
      </c>
      <c r="H7" s="30">
        <f t="shared" ref="H7:H13" si="4">G7*0.055</f>
        <v>132</v>
      </c>
    </row>
    <row r="8">
      <c r="B8" s="21" t="s">
        <v>39</v>
      </c>
      <c r="C8" s="21">
        <v>150.0</v>
      </c>
      <c r="D8" s="21">
        <v>5.0</v>
      </c>
      <c r="E8" s="30">
        <f t="shared" si="1"/>
        <v>7.5</v>
      </c>
      <c r="F8" s="30">
        <f t="shared" si="2"/>
        <v>150</v>
      </c>
      <c r="G8" s="30">
        <f t="shared" si="3"/>
        <v>1125</v>
      </c>
      <c r="H8" s="30">
        <f t="shared" si="4"/>
        <v>61.875</v>
      </c>
    </row>
    <row r="9">
      <c r="B9" s="21" t="s">
        <v>40</v>
      </c>
      <c r="C9" s="21">
        <v>300.0</v>
      </c>
      <c r="D9" s="21">
        <v>4.0</v>
      </c>
      <c r="E9" s="30">
        <f t="shared" si="1"/>
        <v>12</v>
      </c>
      <c r="F9" s="30">
        <f t="shared" si="2"/>
        <v>120</v>
      </c>
      <c r="G9" s="30">
        <f t="shared" si="3"/>
        <v>1440</v>
      </c>
      <c r="H9" s="30">
        <f t="shared" si="4"/>
        <v>79.2</v>
      </c>
    </row>
    <row r="10">
      <c r="B10" s="21" t="s">
        <v>41</v>
      </c>
      <c r="C10" s="21">
        <v>1800.0</v>
      </c>
      <c r="D10" s="21">
        <v>1.5</v>
      </c>
      <c r="E10" s="30">
        <f t="shared" si="1"/>
        <v>27</v>
      </c>
      <c r="F10" s="30">
        <f t="shared" si="2"/>
        <v>45</v>
      </c>
      <c r="G10" s="30">
        <f t="shared" si="3"/>
        <v>1215</v>
      </c>
      <c r="H10" s="30">
        <f t="shared" si="4"/>
        <v>66.825</v>
      </c>
    </row>
    <row r="11">
      <c r="B11" s="21" t="s">
        <v>42</v>
      </c>
      <c r="C11" s="21">
        <v>500.0</v>
      </c>
      <c r="D11" s="21">
        <v>5.0</v>
      </c>
      <c r="E11" s="30">
        <f t="shared" si="1"/>
        <v>25</v>
      </c>
      <c r="F11" s="30">
        <f t="shared" si="2"/>
        <v>150</v>
      </c>
      <c r="G11" s="30">
        <f t="shared" si="3"/>
        <v>3750</v>
      </c>
      <c r="H11" s="30">
        <f t="shared" si="4"/>
        <v>206.25</v>
      </c>
    </row>
    <row r="12">
      <c r="B12" s="21" t="s">
        <v>43</v>
      </c>
      <c r="C12" s="21">
        <v>1100.0</v>
      </c>
      <c r="D12" s="21">
        <v>1.0</v>
      </c>
      <c r="E12" s="30">
        <f t="shared" si="1"/>
        <v>11</v>
      </c>
      <c r="F12" s="30">
        <f t="shared" si="2"/>
        <v>30</v>
      </c>
      <c r="G12" s="30">
        <f t="shared" si="3"/>
        <v>330</v>
      </c>
      <c r="H12" s="30">
        <f t="shared" si="4"/>
        <v>18.15</v>
      </c>
    </row>
    <row r="13">
      <c r="B13" s="21" t="s">
        <v>44</v>
      </c>
      <c r="C13" s="21">
        <v>250.0</v>
      </c>
      <c r="D13" s="21">
        <v>4.0</v>
      </c>
      <c r="E13" s="30">
        <f t="shared" si="1"/>
        <v>10</v>
      </c>
      <c r="F13" s="30">
        <f t="shared" si="2"/>
        <v>120</v>
      </c>
      <c r="G13" s="30">
        <f t="shared" si="3"/>
        <v>1200</v>
      </c>
      <c r="H13" s="30">
        <f t="shared" si="4"/>
        <v>66</v>
      </c>
    </row>
    <row r="15">
      <c r="G15" s="31" t="s">
        <v>45</v>
      </c>
      <c r="H15" s="30">
        <f>SUM(H5:H13)</f>
        <v>630.3</v>
      </c>
    </row>
    <row r="17">
      <c r="G17" s="31" t="s">
        <v>46</v>
      </c>
      <c r="H17" s="30">
        <f>H15*0.16</f>
        <v>100.848</v>
      </c>
    </row>
    <row r="19">
      <c r="F19" s="32" t="s">
        <v>47</v>
      </c>
      <c r="G19" s="20"/>
      <c r="H19" s="30">
        <f>SUM(H15+H17)</f>
        <v>731.148</v>
      </c>
    </row>
  </sheetData>
  <mergeCells count="6">
    <mergeCell ref="B3:H3"/>
    <mergeCell ref="B4:F4"/>
    <mergeCell ref="B5:B6"/>
    <mergeCell ref="D5:D6"/>
    <mergeCell ref="F5:F6"/>
    <mergeCell ref="F19:G1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33" t="s">
        <v>48</v>
      </c>
    </row>
    <row r="4">
      <c r="B4" s="34" t="s">
        <v>49</v>
      </c>
    </row>
    <row r="6" ht="45.75" customHeight="1">
      <c r="B6" s="35" t="s">
        <v>50</v>
      </c>
      <c r="C6" s="35" t="s">
        <v>51</v>
      </c>
      <c r="D6" s="36" t="s">
        <v>52</v>
      </c>
      <c r="E6" s="36" t="s">
        <v>53</v>
      </c>
      <c r="F6" s="36" t="s">
        <v>54</v>
      </c>
      <c r="G6" s="36" t="s">
        <v>55</v>
      </c>
    </row>
    <row r="7">
      <c r="B7" s="21" t="s">
        <v>56</v>
      </c>
      <c r="C7" s="37">
        <v>65000.0</v>
      </c>
      <c r="D7" s="38">
        <v>40000.0</v>
      </c>
      <c r="E7" s="39">
        <f t="shared" ref="E7:E12" si="1">D7*100/C7</f>
        <v>61.53846154</v>
      </c>
      <c r="F7" s="39">
        <f t="shared" ref="F7:F12" si="2">C7-D7</f>
        <v>25000</v>
      </c>
      <c r="G7" s="39" t="str">
        <f t="shared" ref="G7:G12" si="3">IF(E7&gt;60,"SI","NO")</f>
        <v>SI</v>
      </c>
    </row>
    <row r="8">
      <c r="B8" s="21" t="s">
        <v>57</v>
      </c>
      <c r="C8" s="37">
        <v>57000.0</v>
      </c>
      <c r="D8" s="38">
        <v>20000.0</v>
      </c>
      <c r="E8" s="39">
        <f t="shared" si="1"/>
        <v>35.0877193</v>
      </c>
      <c r="F8" s="39">
        <f t="shared" si="2"/>
        <v>37000</v>
      </c>
      <c r="G8" s="39" t="str">
        <f t="shared" si="3"/>
        <v>NO</v>
      </c>
    </row>
    <row r="9">
      <c r="B9" s="21" t="s">
        <v>58</v>
      </c>
      <c r="C9" s="37">
        <v>45000.0</v>
      </c>
      <c r="D9" s="38">
        <v>30000.0</v>
      </c>
      <c r="E9" s="39">
        <f t="shared" si="1"/>
        <v>66.66666667</v>
      </c>
      <c r="F9" s="39">
        <f t="shared" si="2"/>
        <v>15000</v>
      </c>
      <c r="G9" s="39" t="str">
        <f t="shared" si="3"/>
        <v>SI</v>
      </c>
    </row>
    <row r="10">
      <c r="B10" s="21" t="s">
        <v>59</v>
      </c>
      <c r="C10" s="37">
        <v>30000.0</v>
      </c>
      <c r="D10" s="38">
        <v>10000.0</v>
      </c>
      <c r="E10" s="39">
        <f t="shared" si="1"/>
        <v>33.33333333</v>
      </c>
      <c r="F10" s="39">
        <f t="shared" si="2"/>
        <v>20000</v>
      </c>
      <c r="G10" s="39" t="str">
        <f t="shared" si="3"/>
        <v>NO</v>
      </c>
    </row>
    <row r="11">
      <c r="B11" s="21" t="s">
        <v>60</v>
      </c>
      <c r="C11" s="37">
        <v>25000.0</v>
      </c>
      <c r="D11" s="38">
        <v>5000.0</v>
      </c>
      <c r="E11" s="39">
        <f t="shared" si="1"/>
        <v>20</v>
      </c>
      <c r="F11" s="39">
        <f t="shared" si="2"/>
        <v>20000</v>
      </c>
      <c r="G11" s="39" t="str">
        <f t="shared" si="3"/>
        <v>NO</v>
      </c>
    </row>
    <row r="12">
      <c r="B12" s="21" t="s">
        <v>61</v>
      </c>
      <c r="C12" s="37">
        <v>20000.0</v>
      </c>
      <c r="D12" s="38">
        <v>6000.0</v>
      </c>
      <c r="E12" s="39">
        <f t="shared" si="1"/>
        <v>30</v>
      </c>
      <c r="F12" s="39">
        <f t="shared" si="2"/>
        <v>14000</v>
      </c>
      <c r="G12" s="39" t="str">
        <f t="shared" si="3"/>
        <v>NO</v>
      </c>
    </row>
    <row r="14">
      <c r="E14" s="40" t="s">
        <v>62</v>
      </c>
      <c r="G14" s="41">
        <f>COUNTIF(G7:G12,"SI")</f>
        <v>2</v>
      </c>
    </row>
    <row r="15">
      <c r="E15" s="40" t="s">
        <v>63</v>
      </c>
      <c r="G15" s="41">
        <f>COUNTIF(G7:G12,"NO")</f>
        <v>4</v>
      </c>
    </row>
    <row r="17">
      <c r="C17" s="42"/>
      <c r="D17" s="40" t="s">
        <v>64</v>
      </c>
      <c r="G17" s="43" t="s">
        <v>65</v>
      </c>
    </row>
  </sheetData>
  <mergeCells count="5">
    <mergeCell ref="B3:F3"/>
    <mergeCell ref="B4:D4"/>
    <mergeCell ref="E14:F14"/>
    <mergeCell ref="E15:F15"/>
    <mergeCell ref="D17:F17"/>
  </mergeCells>
  <drawing r:id="rId1"/>
</worksheet>
</file>
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vidad 1" sheetId="1" r:id="rId5"/>
    <sheet state="visible" name="actividad 2" sheetId="2" r:id="rId6"/>
    <sheet state="visible" name="actividad 3" sheetId="3" r:id="rId7"/>
    <sheet state="visible" name="actividad 4" sheetId="4" r:id="rId8"/>
    <sheet state="visible" name="Hoja 5" sheetId="5" r:id="rId9"/>
  </sheets>
  <definedNames/>
  <calcPr/>
</workbook>
</file>

<file path=xl/sharedStrings.xml><?xml version="1.0" encoding="utf-8"?>
<sst xmlns="http://schemas.openxmlformats.org/spreadsheetml/2006/main" count="66" uniqueCount="57">
  <si>
    <t>NUMERO</t>
  </si>
  <si>
    <t>TABLA</t>
  </si>
  <si>
    <t>OPERACIO</t>
  </si>
  <si>
    <t>RESULTADO</t>
  </si>
  <si>
    <t xml:space="preserve"> </t>
  </si>
  <si>
    <t>x</t>
  </si>
  <si>
    <t>ENERO</t>
  </si>
  <si>
    <t>FEBRERO</t>
  </si>
  <si>
    <t>MARZO</t>
  </si>
  <si>
    <t>TOTAL TRIMESTRE</t>
  </si>
  <si>
    <t>GASOLINA</t>
  </si>
  <si>
    <t>CHINO</t>
  </si>
  <si>
    <t>CANTINA</t>
  </si>
  <si>
    <t>MERCADONA</t>
  </si>
  <si>
    <t>AGUA</t>
  </si>
  <si>
    <t>TOTAL</t>
  </si>
  <si>
    <t>TABLA DE NOTAS DE MIS COMPAÑEROS</t>
  </si>
  <si>
    <t>NOMBRE</t>
  </si>
  <si>
    <t>NOTA 1</t>
  </si>
  <si>
    <t>NOTA 2</t>
  </si>
  <si>
    <t>NOTA 3</t>
  </si>
  <si>
    <t xml:space="preserve">NOTA MEDIA </t>
  </si>
  <si>
    <t>ANGEL</t>
  </si>
  <si>
    <t>LUIS</t>
  </si>
  <si>
    <t>IZAN</t>
  </si>
  <si>
    <t>ESTELA</t>
  </si>
  <si>
    <t>SERGIO</t>
  </si>
  <si>
    <t>EMILIO</t>
  </si>
  <si>
    <t>SANTI</t>
  </si>
  <si>
    <t>CALCULO DE LA FACTURA DE LA COMPAÑIA ELECTRICA</t>
  </si>
  <si>
    <t>APARATO</t>
  </si>
  <si>
    <t xml:space="preserve">Potencia </t>
  </si>
  <si>
    <t>HORAS DE FUNCIONAMIENTO DIARIAS</t>
  </si>
  <si>
    <t>potencia</t>
  </si>
  <si>
    <t>HORAS MENSUALES</t>
  </si>
  <si>
    <t>ENERGIA</t>
  </si>
  <si>
    <t>COSTE</t>
  </si>
  <si>
    <t>Watios</t>
  </si>
  <si>
    <t>KW</t>
  </si>
  <si>
    <t>WHh</t>
  </si>
  <si>
    <t>€</t>
  </si>
  <si>
    <t>watios</t>
  </si>
  <si>
    <t>LAVADORA</t>
  </si>
  <si>
    <t>TELEVISOR</t>
  </si>
  <si>
    <t>FRIGORIFICO</t>
  </si>
  <si>
    <t>LAVAVAJILLAS</t>
  </si>
  <si>
    <t>ILUMINACION</t>
  </si>
  <si>
    <t>PLANCHA</t>
  </si>
  <si>
    <t>ORDENADOR</t>
  </si>
  <si>
    <t>COMPAÑIA ESPAÑOLA DE CAMPOS DE FUTBOL</t>
  </si>
  <si>
    <t>ESTUDIO DE RENTABILIDAD AÑO 2014</t>
  </si>
  <si>
    <t>LOCALIDAD</t>
  </si>
  <si>
    <t>Nº DE PLAZAS</t>
  </si>
  <si>
    <t>PROMEDIO DE OCUPACION</t>
  </si>
  <si>
    <t>PORCENTAJE DE OCUPACION</t>
  </si>
  <si>
    <t>DIFERENCIA</t>
  </si>
  <si>
    <t>¿ES RENTABLE?  SI/NO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</si>
</sst>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color theme="1"/>
      <name val="Roboto"/>
    </font>
    <font>
      <color rgb="FF434343"/>
      <name val="Roboto"/>
    </font>
    <font>
      <sz val="26.0"/>
      <color theme="1"/>
      <name val="Arial"/>
      <scheme val="minor"/>
    </font>
    <font/>
    <font>
      <sz val="24.0"/>
      <color theme="1"/>
      <name val="Arial"/>
      <scheme val="minor"/>
    </font>
    <font>
      <sz val="13.0"/>
      <color theme="1"/>
      <name val="Arial"/>
      <scheme val="minor"/>
    </font>
  </fonts>
  <fills count="15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D5A6BD"/>
        <bgColor rgb="FFD5A6BD"/>
      </patternFill>
    </fill>
    <fill>
      <patternFill patternType="solid">
        <fgColor rgb="FFD9D2E9"/>
        <bgColor rgb="FFD9D2E9"/>
      </patternFill>
    </fill>
    <fill>
      <patternFill patternType="solid">
        <fgColor rgb="FFE6B8AF"/>
        <bgColor rgb="FFE6B8AF"/>
      </patternFill>
    </fill>
    <fill>
      <patternFill patternType="solid">
        <fgColor rgb="FFB6D7A8"/>
        <bgColor rgb="FFB6D7A8"/>
      </patternFill>
    </fill>
    <fill>
      <patternFill patternType="solid">
        <fgColor rgb="FF3C78D8"/>
        <bgColor rgb="FF3C78D8"/>
      </patternFill>
    </fill>
    <fill>
      <patternFill patternType="solid">
        <fgColor rgb="FFB7E1CD"/>
        <bgColor rgb="FFB7E1CD"/>
      </patternFill>
    </fill>
    <fill>
      <patternFill patternType="solid">
        <fgColor rgb="FFFF0000"/>
        <bgColor rgb="FFFF0000"/>
      </patternFill>
    </fill>
    <fill>
      <patternFill patternType="solid">
        <fgColor rgb="FFF6F8F9"/>
        <bgColor rgb="FFF6F8F9"/>
      </patternFill>
    </fill>
    <fill>
      <patternFill patternType="solid">
        <fgColor rgb="FF0000FF"/>
        <bgColor rgb="FF0000FF"/>
      </patternFill>
    </fill>
    <fill>
      <patternFill patternType="solid">
        <fgColor rgb="FFFFFF00"/>
        <bgColor rgb="FFFFFF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1" fillId="0" fontId="1" numFmtId="0" xfId="0" applyBorder="1" applyFont="1"/>
    <xf borderId="1" fillId="2" fontId="1" numFmtId="0" xfId="0" applyAlignment="1" applyBorder="1" applyFill="1" applyFont="1">
      <alignment readingOrder="0"/>
    </xf>
    <xf borderId="0" fillId="3" fontId="1" numFmtId="0" xfId="0" applyAlignment="1" applyFill="1" applyFont="1">
      <alignment readingOrder="0"/>
    </xf>
    <xf borderId="1" fillId="4" fontId="1" numFmtId="0" xfId="0" applyAlignment="1" applyBorder="1" applyFill="1" applyFont="1">
      <alignment readingOrder="0"/>
    </xf>
    <xf borderId="1" fillId="5" fontId="1" numFmtId="0" xfId="0" applyBorder="1" applyFill="1" applyFont="1"/>
    <xf borderId="0" fillId="6" fontId="1" numFmtId="0" xfId="0" applyFill="1" applyFont="1"/>
    <xf borderId="1" fillId="3" fontId="1" numFmtId="0" xfId="0" applyAlignment="1" applyBorder="1" applyFont="1">
      <alignment readingOrder="0"/>
    </xf>
    <xf borderId="1" fillId="7" fontId="1" numFmtId="0" xfId="0" applyBorder="1" applyFill="1" applyFont="1"/>
    <xf borderId="0" fillId="0" fontId="1" numFmtId="0" xfId="0" applyFont="1"/>
    <xf borderId="0" fillId="0" fontId="2" numFmtId="0" xfId="0" applyAlignment="1" applyFont="1">
      <alignment vertical="bottom"/>
    </xf>
    <xf borderId="2" fillId="8" fontId="2" numFmtId="0" xfId="0" applyAlignment="1" applyBorder="1" applyFill="1" applyFont="1">
      <alignment vertical="bottom"/>
    </xf>
    <xf borderId="3" fillId="8" fontId="2" numFmtId="0" xfId="0" applyAlignment="1" applyBorder="1" applyFont="1">
      <alignment vertical="bottom"/>
    </xf>
    <xf borderId="4" fillId="8" fontId="2" numFmtId="0" xfId="0" applyAlignment="1" applyBorder="1" applyFont="1">
      <alignment vertical="bottom"/>
    </xf>
    <xf borderId="0" fillId="9" fontId="3" numFmtId="0" xfId="0" applyAlignment="1" applyFill="1" applyFont="1">
      <alignment horizontal="left" readingOrder="0" shrinkToFit="0" vertical="center" wrapText="0"/>
    </xf>
    <xf borderId="1" fillId="3" fontId="4" numFmtId="0" xfId="0" applyAlignment="1" applyBorder="1" applyFont="1">
      <alignment readingOrder="0" shrinkToFit="0" vertical="center" wrapText="0"/>
    </xf>
    <xf borderId="1" fillId="10" fontId="4" numFmtId="0" xfId="0" applyAlignment="1" applyBorder="1" applyFill="1" applyFont="1">
      <alignment horizontal="right" readingOrder="0" shrinkToFit="0" vertical="center" wrapText="0"/>
    </xf>
    <xf borderId="1" fillId="10" fontId="4" numFmtId="0" xfId="0" applyAlignment="1" applyBorder="1" applyFont="1">
      <alignment horizontal="right" shrinkToFit="0" vertical="center" wrapText="0"/>
    </xf>
    <xf borderId="1" fillId="11" fontId="4" numFmtId="0" xfId="0" applyAlignment="1" applyBorder="1" applyFill="1" applyFont="1">
      <alignment horizontal="right" shrinkToFit="0" vertical="center" wrapText="0"/>
    </xf>
    <xf borderId="1" fillId="12" fontId="4" numFmtId="0" xfId="0" applyAlignment="1" applyBorder="1" applyFill="1" applyFont="1">
      <alignment readingOrder="0" shrinkToFit="0" vertical="center" wrapText="0"/>
    </xf>
    <xf borderId="1" fillId="11" fontId="4" numFmtId="0" xfId="0" applyAlignment="1" applyBorder="1" applyFont="1">
      <alignment horizontal="right" readingOrder="0" shrinkToFit="0" vertical="center" wrapText="0"/>
    </xf>
    <xf borderId="0" fillId="4" fontId="5" numFmtId="0" xfId="0" applyAlignment="1" applyFont="1">
      <alignment readingOrder="0"/>
    </xf>
    <xf borderId="0" fillId="4" fontId="1" numFmtId="0" xfId="0" applyFont="1"/>
    <xf borderId="5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6" fillId="0" fontId="6" numFmtId="0" xfId="0" applyBorder="1" applyFont="1"/>
    <xf borderId="0" fillId="13" fontId="7" numFmtId="0" xfId="0" applyAlignment="1" applyFill="1" applyFont="1">
      <alignment readingOrder="0"/>
    </xf>
    <xf borderId="0" fillId="13" fontId="1" numFmtId="0" xfId="0" applyFont="1"/>
    <xf borderId="0" fillId="14" fontId="8" numFmtId="0" xfId="0" applyAlignment="1" applyFill="1" applyFont="1">
      <alignment readingOrder="0"/>
    </xf>
    <xf borderId="0" fillId="14" fontId="1" numFmtId="0" xfId="0" applyFont="1"/>
    <xf borderId="0" fillId="0" fontId="1" numFmtId="0" xfId="0" applyAlignment="1" applyFont="1">
      <alignment readingOrder="0" shrinkToFit="0" wrapText="1"/>
    </xf>
  </cellXfs>
  <cellStyles count="1">
    <cellStyle xfId="0" name="Normal" builtinId="0"/>
  </cellStyles>
  <dxfs count="6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4A568D"/>
          <bgColor rgb="FF4A568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4A568D"/>
        </left>
        <right style="thin">
          <color rgb="FF4A568D"/>
        </right>
        <top style="thin">
          <color rgb="FF4A568D"/>
        </top>
        <bottom style="thin">
          <color rgb="FF4A568D"/>
        </bottom>
      </border>
    </dxf>
  </dxfs>
  <tableStyles count="1">
    <tableStyle count="4" pivot="0" name="actividad 3-style">
      <tableStyleElement dxfId="2" type="headerRow"/>
      <tableStyleElement dxfId="3" type="firstRowStripe"/>
      <tableStyleElement dxfId="4" type="secondRowStripe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D7:H14" displayName="Tabla_1" name="Tabla_1" id="1">
  <tableColumns count="5">
    <tableColumn name="NOMBRE" id="1"/>
    <tableColumn name="NOTA 1" id="2"/>
    <tableColumn name="NOTA 2" id="3"/>
    <tableColumn name="NOTA 3" id="4"/>
    <tableColumn name="NOTA MEDIA " id="5"/>
  </tableColumns>
  <tableStyleInfo name="actividad 3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</row>
    <row r="2">
      <c r="B2" s="1">
        <v>5.0</v>
      </c>
      <c r="C2" s="1" t="s">
        <v>5</v>
      </c>
      <c r="D2" s="1">
        <v>1.0</v>
      </c>
      <c r="E2" s="3">
        <f t="shared" ref="E2:E11" si="1">B2*D2</f>
        <v>5</v>
      </c>
    </row>
    <row r="3">
      <c r="B3" s="1">
        <v>5.0</v>
      </c>
      <c r="C3" s="1" t="s">
        <v>5</v>
      </c>
      <c r="D3" s="3">
        <f t="shared" ref="D3:D11" si="2">D2+1</f>
        <v>2</v>
      </c>
      <c r="E3" s="3">
        <f t="shared" si="1"/>
        <v>10</v>
      </c>
    </row>
    <row r="4">
      <c r="B4" s="1">
        <v>5.0</v>
      </c>
      <c r="C4" s="1" t="s">
        <v>5</v>
      </c>
      <c r="D4" s="3">
        <f t="shared" si="2"/>
        <v>3</v>
      </c>
      <c r="E4" s="3">
        <f t="shared" si="1"/>
        <v>15</v>
      </c>
    </row>
    <row r="5">
      <c r="B5" s="1">
        <v>5.0</v>
      </c>
      <c r="C5" s="1" t="s">
        <v>5</v>
      </c>
      <c r="D5" s="3">
        <f t="shared" si="2"/>
        <v>4</v>
      </c>
      <c r="E5" s="3">
        <f t="shared" si="1"/>
        <v>20</v>
      </c>
    </row>
    <row r="6">
      <c r="B6" s="1">
        <v>5.0</v>
      </c>
      <c r="C6" s="1" t="s">
        <v>5</v>
      </c>
      <c r="D6" s="3">
        <f t="shared" si="2"/>
        <v>5</v>
      </c>
      <c r="E6" s="3">
        <f t="shared" si="1"/>
        <v>25</v>
      </c>
    </row>
    <row r="7">
      <c r="B7" s="1">
        <v>5.0</v>
      </c>
      <c r="C7" s="1" t="s">
        <v>5</v>
      </c>
      <c r="D7" s="3">
        <f t="shared" si="2"/>
        <v>6</v>
      </c>
      <c r="E7" s="3">
        <f t="shared" si="1"/>
        <v>30</v>
      </c>
    </row>
    <row r="8">
      <c r="B8" s="1">
        <v>5.0</v>
      </c>
      <c r="C8" s="1" t="s">
        <v>5</v>
      </c>
      <c r="D8" s="3">
        <f t="shared" si="2"/>
        <v>7</v>
      </c>
      <c r="E8" s="3">
        <f t="shared" si="1"/>
        <v>35</v>
      </c>
    </row>
    <row r="9">
      <c r="B9" s="1">
        <v>5.0</v>
      </c>
      <c r="C9" s="1" t="s">
        <v>5</v>
      </c>
      <c r="D9" s="3">
        <f t="shared" si="2"/>
        <v>8</v>
      </c>
      <c r="E9" s="3">
        <f t="shared" si="1"/>
        <v>40</v>
      </c>
    </row>
    <row r="10">
      <c r="B10" s="1">
        <v>5.0</v>
      </c>
      <c r="C10" s="1" t="s">
        <v>5</v>
      </c>
      <c r="D10" s="3">
        <f t="shared" si="2"/>
        <v>9</v>
      </c>
      <c r="E10" s="3">
        <f t="shared" si="1"/>
        <v>45</v>
      </c>
    </row>
    <row r="11">
      <c r="B11" s="1">
        <v>5.0</v>
      </c>
      <c r="C11" s="1" t="s">
        <v>5</v>
      </c>
      <c r="D11" s="3">
        <f t="shared" si="2"/>
        <v>10</v>
      </c>
      <c r="E11" s="3">
        <f t="shared" si="1"/>
        <v>50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25"/>
  </cols>
  <sheetData>
    <row r="1">
      <c r="C1" s="4" t="s">
        <v>6</v>
      </c>
      <c r="D1" s="4" t="s">
        <v>7</v>
      </c>
      <c r="E1" s="4" t="s">
        <v>8</v>
      </c>
      <c r="G1" s="5" t="s">
        <v>9</v>
      </c>
    </row>
    <row r="2">
      <c r="B2" s="6" t="s">
        <v>10</v>
      </c>
      <c r="C2" s="1">
        <v>100.0</v>
      </c>
      <c r="D2" s="1">
        <v>85.0</v>
      </c>
      <c r="E2" s="1">
        <v>120.0</v>
      </c>
      <c r="G2" s="7">
        <f t="shared" ref="G2:G6" si="1">SUM(C2:E2)</f>
        <v>305</v>
      </c>
    </row>
    <row r="3">
      <c r="B3" s="6" t="s">
        <v>11</v>
      </c>
      <c r="C3" s="1">
        <v>45.0</v>
      </c>
      <c r="D3" s="1">
        <v>75.0</v>
      </c>
      <c r="E3" s="1">
        <v>15.0</v>
      </c>
      <c r="G3" s="7">
        <f t="shared" si="1"/>
        <v>135</v>
      </c>
    </row>
    <row r="4">
      <c r="B4" s="6" t="s">
        <v>12</v>
      </c>
      <c r="C4" s="1">
        <v>25.0</v>
      </c>
      <c r="D4" s="1">
        <v>65.0</v>
      </c>
      <c r="E4" s="1">
        <v>25.0</v>
      </c>
      <c r="G4" s="7">
        <f t="shared" si="1"/>
        <v>115</v>
      </c>
      <c r="I4" s="8"/>
    </row>
    <row r="5">
      <c r="B5" s="6" t="s">
        <v>13</v>
      </c>
      <c r="C5" s="1">
        <v>10.0</v>
      </c>
      <c r="D5" s="1">
        <v>70.0</v>
      </c>
      <c r="E5" s="1">
        <v>20.0</v>
      </c>
      <c r="G5" s="7">
        <f t="shared" si="1"/>
        <v>100</v>
      </c>
    </row>
    <row r="6">
      <c r="B6" s="6" t="s">
        <v>14</v>
      </c>
      <c r="C6" s="1">
        <v>15.0</v>
      </c>
      <c r="D6" s="1">
        <v>10.0</v>
      </c>
      <c r="E6" s="1">
        <v>35.0</v>
      </c>
      <c r="G6" s="7">
        <f t="shared" si="1"/>
        <v>60</v>
      </c>
    </row>
    <row r="8">
      <c r="B8" s="9" t="s">
        <v>15</v>
      </c>
      <c r="C8" s="10">
        <f t="shared" ref="C8:E8" si="2">SUM(C2:C6)</f>
        <v>195</v>
      </c>
      <c r="D8" s="10">
        <f t="shared" si="2"/>
        <v>305</v>
      </c>
      <c r="E8" s="10">
        <f t="shared" si="2"/>
        <v>215</v>
      </c>
      <c r="G8" s="11">
        <f>SUM(C8:E8)</f>
        <v>715</v>
      </c>
    </row>
  </sheetData>
  <conditionalFormatting sqref="G8">
    <cfRule type="cellIs" dxfId="0" priority="1" operator="greaterThan">
      <formula>500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5">
      <c r="C5" s="12"/>
      <c r="D5" s="13" t="s">
        <v>16</v>
      </c>
      <c r="E5" s="14"/>
      <c r="F5" s="15"/>
      <c r="G5" s="12"/>
      <c r="H5" s="12"/>
      <c r="I5" s="12"/>
    </row>
    <row r="6">
      <c r="C6" s="12"/>
      <c r="D6" s="12"/>
      <c r="E6" s="12"/>
      <c r="F6" s="12"/>
      <c r="G6" s="12"/>
      <c r="H6" s="12"/>
      <c r="I6" s="12"/>
    </row>
    <row r="7" ht="22.5" customHeight="1">
      <c r="C7" s="12"/>
      <c r="D7" s="16" t="s">
        <v>17</v>
      </c>
      <c r="E7" s="16" t="s">
        <v>18</v>
      </c>
      <c r="F7" s="16" t="s">
        <v>19</v>
      </c>
      <c r="G7" s="16" t="s">
        <v>20</v>
      </c>
      <c r="H7" s="16" t="s">
        <v>21</v>
      </c>
      <c r="I7" s="12"/>
    </row>
    <row r="8" ht="22.5" customHeight="1">
      <c r="C8" s="12"/>
      <c r="D8" s="17" t="s">
        <v>22</v>
      </c>
      <c r="E8" s="18">
        <v>7.5</v>
      </c>
      <c r="F8" s="19">
        <f t="shared" ref="F8:G8" si="1">RANDBETWEEN(0,10)</f>
        <v>1</v>
      </c>
      <c r="G8" s="20">
        <f t="shared" si="1"/>
        <v>0</v>
      </c>
      <c r="H8" s="19">
        <f t="shared" ref="H8:H14" si="3">AVERAGE(E8:G8)</f>
        <v>2.833333333</v>
      </c>
      <c r="I8" s="12"/>
    </row>
    <row r="9" ht="22.5" customHeight="1">
      <c r="C9" s="12"/>
      <c r="D9" s="21" t="s">
        <v>23</v>
      </c>
      <c r="E9" s="22">
        <v>7.0</v>
      </c>
      <c r="F9" s="19">
        <f t="shared" ref="F9:G9" si="2">RANDBETWEEN(0,10)</f>
        <v>8</v>
      </c>
      <c r="G9" s="20">
        <f t="shared" si="2"/>
        <v>4</v>
      </c>
      <c r="H9" s="20">
        <f t="shared" si="3"/>
        <v>6.333333333</v>
      </c>
      <c r="I9" s="12"/>
    </row>
    <row r="10" ht="22.5" customHeight="1">
      <c r="C10" s="12"/>
      <c r="D10" s="17" t="s">
        <v>24</v>
      </c>
      <c r="E10" s="19">
        <f t="shared" ref="E10:G10" si="4">RANDBETWEEN(0,10)</f>
        <v>8</v>
      </c>
      <c r="F10" s="19">
        <f t="shared" si="4"/>
        <v>5</v>
      </c>
      <c r="G10" s="20">
        <f t="shared" si="4"/>
        <v>10</v>
      </c>
      <c r="H10" s="19">
        <f t="shared" si="3"/>
        <v>7.666666667</v>
      </c>
      <c r="I10" s="12"/>
    </row>
    <row r="11" ht="22.5" customHeight="1">
      <c r="C11" s="12"/>
      <c r="D11" s="21" t="s">
        <v>25</v>
      </c>
      <c r="E11" s="19">
        <f t="shared" ref="E11:G11" si="5">RANDBETWEEN(0,10)</f>
        <v>1</v>
      </c>
      <c r="F11" s="19">
        <f t="shared" si="5"/>
        <v>6</v>
      </c>
      <c r="G11" s="20">
        <f t="shared" si="5"/>
        <v>1</v>
      </c>
      <c r="H11" s="19">
        <f t="shared" si="3"/>
        <v>2.666666667</v>
      </c>
      <c r="I11" s="12"/>
    </row>
    <row r="12" ht="22.5" customHeight="1">
      <c r="C12" s="12"/>
      <c r="D12" s="17" t="s">
        <v>26</v>
      </c>
      <c r="E12" s="22">
        <v>6.0</v>
      </c>
      <c r="F12" s="18">
        <v>4.0</v>
      </c>
      <c r="G12" s="22">
        <v>9.0</v>
      </c>
      <c r="H12" s="20">
        <f t="shared" si="3"/>
        <v>6.333333333</v>
      </c>
      <c r="I12" s="12"/>
    </row>
    <row r="13" ht="22.5" customHeight="1">
      <c r="C13" s="12"/>
      <c r="D13" s="21" t="s">
        <v>27</v>
      </c>
      <c r="E13" s="20">
        <f>RANDBETWEEN(0,10)</f>
        <v>3</v>
      </c>
      <c r="F13" s="22">
        <v>5.0</v>
      </c>
      <c r="G13" s="19">
        <f>RANDBETWEEN(0,10)</f>
        <v>1</v>
      </c>
      <c r="H13" s="19">
        <f t="shared" si="3"/>
        <v>3</v>
      </c>
      <c r="I13" s="12"/>
    </row>
    <row r="14" ht="22.5" customHeight="1">
      <c r="C14" s="12"/>
      <c r="D14" s="17" t="s">
        <v>28</v>
      </c>
      <c r="E14" s="18">
        <v>9.0</v>
      </c>
      <c r="F14" s="19">
        <f t="shared" ref="F14:G14" si="6">RANDBETWEEN(0,10)</f>
        <v>9</v>
      </c>
      <c r="G14" s="19">
        <f t="shared" si="6"/>
        <v>10</v>
      </c>
      <c r="H14" s="19">
        <f t="shared" si="3"/>
        <v>9.333333333</v>
      </c>
      <c r="I14" s="12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25"/>
    <col customWidth="1" min="4" max="4" width="38.0"/>
    <col customWidth="1" min="6" max="6" width="17.63"/>
  </cols>
  <sheetData>
    <row r="2">
      <c r="B2" s="23" t="s">
        <v>29</v>
      </c>
      <c r="C2" s="24"/>
      <c r="D2" s="24"/>
      <c r="E2" s="24"/>
      <c r="F2" s="24"/>
      <c r="G2" s="24"/>
      <c r="H2" s="24"/>
      <c r="I2" s="24"/>
      <c r="J2" s="24"/>
    </row>
    <row r="3">
      <c r="B3" s="25" t="s">
        <v>30</v>
      </c>
      <c r="C3" s="26" t="s">
        <v>31</v>
      </c>
      <c r="D3" s="25" t="s">
        <v>32</v>
      </c>
      <c r="E3" s="26" t="s">
        <v>33</v>
      </c>
      <c r="F3" s="25" t="s">
        <v>34</v>
      </c>
      <c r="G3" s="26" t="s">
        <v>35</v>
      </c>
      <c r="H3" s="26" t="s">
        <v>36</v>
      </c>
    </row>
    <row r="4">
      <c r="B4" s="27"/>
      <c r="C4" s="26" t="s">
        <v>37</v>
      </c>
      <c r="D4" s="27"/>
      <c r="E4" s="26" t="s">
        <v>38</v>
      </c>
      <c r="F4" s="27"/>
      <c r="G4" s="26" t="s">
        <v>39</v>
      </c>
      <c r="H4" s="26" t="s">
        <v>40</v>
      </c>
      <c r="I4" s="3"/>
    </row>
    <row r="5" ht="1.5" customHeight="1">
      <c r="C5" s="2" t="s">
        <v>41</v>
      </c>
    </row>
    <row r="6">
      <c r="B6" s="1" t="s">
        <v>42</v>
      </c>
      <c r="C6" s="1">
        <v>2000.0</v>
      </c>
      <c r="D6" s="1">
        <v>2.0</v>
      </c>
      <c r="E6" s="3">
        <f t="shared" ref="E6:E12" si="1">C6/1000</f>
        <v>2</v>
      </c>
      <c r="F6" s="3">
        <f t="shared" ref="F6:F12" si="2">D6*30</f>
        <v>60</v>
      </c>
      <c r="G6" s="3">
        <f t="shared" ref="G6:G12" si="3">E6*F6</f>
        <v>120</v>
      </c>
      <c r="H6" s="3">
        <f t="shared" ref="H6:H12" si="4">G6*0.055</f>
        <v>6.6</v>
      </c>
    </row>
    <row r="7">
      <c r="B7" s="1" t="s">
        <v>43</v>
      </c>
      <c r="C7" s="1">
        <v>150.0</v>
      </c>
      <c r="D7" s="1">
        <v>5.0</v>
      </c>
      <c r="E7" s="3">
        <f t="shared" si="1"/>
        <v>0.15</v>
      </c>
      <c r="F7" s="3">
        <f t="shared" si="2"/>
        <v>150</v>
      </c>
      <c r="G7" s="3">
        <f t="shared" si="3"/>
        <v>22.5</v>
      </c>
      <c r="H7" s="3">
        <f t="shared" si="4"/>
        <v>1.2375</v>
      </c>
    </row>
    <row r="8">
      <c r="B8" s="1" t="s">
        <v>44</v>
      </c>
      <c r="C8" s="1">
        <v>300.0</v>
      </c>
      <c r="D8" s="1">
        <v>4.0</v>
      </c>
      <c r="E8" s="3">
        <f t="shared" si="1"/>
        <v>0.3</v>
      </c>
      <c r="F8" s="3">
        <f t="shared" si="2"/>
        <v>120</v>
      </c>
      <c r="G8" s="3">
        <f t="shared" si="3"/>
        <v>36</v>
      </c>
      <c r="H8" s="3">
        <f t="shared" si="4"/>
        <v>1.98</v>
      </c>
    </row>
    <row r="9">
      <c r="B9" s="1" t="s">
        <v>45</v>
      </c>
      <c r="C9" s="1">
        <v>1800.0</v>
      </c>
      <c r="D9" s="1">
        <v>1.5</v>
      </c>
      <c r="E9" s="3">
        <f t="shared" si="1"/>
        <v>1.8</v>
      </c>
      <c r="F9" s="3">
        <f t="shared" si="2"/>
        <v>45</v>
      </c>
      <c r="G9" s="3">
        <f t="shared" si="3"/>
        <v>81</v>
      </c>
      <c r="H9" s="3">
        <f t="shared" si="4"/>
        <v>4.455</v>
      </c>
    </row>
    <row r="10">
      <c r="B10" s="1" t="s">
        <v>46</v>
      </c>
      <c r="C10" s="1">
        <v>500.0</v>
      </c>
      <c r="D10" s="1">
        <v>5.0</v>
      </c>
      <c r="E10" s="3">
        <f t="shared" si="1"/>
        <v>0.5</v>
      </c>
      <c r="F10" s="3">
        <f t="shared" si="2"/>
        <v>150</v>
      </c>
      <c r="G10" s="3">
        <f t="shared" si="3"/>
        <v>75</v>
      </c>
      <c r="H10" s="3">
        <f t="shared" si="4"/>
        <v>4.125</v>
      </c>
    </row>
    <row r="11">
      <c r="B11" s="1" t="s">
        <v>47</v>
      </c>
      <c r="C11" s="1">
        <v>1100.0</v>
      </c>
      <c r="D11" s="1">
        <v>1.0</v>
      </c>
      <c r="E11" s="3">
        <f t="shared" si="1"/>
        <v>1.1</v>
      </c>
      <c r="F11" s="3">
        <f t="shared" si="2"/>
        <v>30</v>
      </c>
      <c r="G11" s="3">
        <f t="shared" si="3"/>
        <v>33</v>
      </c>
      <c r="H11" s="3">
        <f t="shared" si="4"/>
        <v>1.815</v>
      </c>
    </row>
    <row r="12">
      <c r="B12" s="1" t="s">
        <v>48</v>
      </c>
      <c r="C12" s="1">
        <v>250.0</v>
      </c>
      <c r="D12" s="1">
        <v>4.0</v>
      </c>
      <c r="E12" s="3">
        <f t="shared" si="1"/>
        <v>0.25</v>
      </c>
      <c r="F12" s="3">
        <f t="shared" si="2"/>
        <v>120</v>
      </c>
      <c r="G12" s="3">
        <f t="shared" si="3"/>
        <v>30</v>
      </c>
      <c r="H12" s="3">
        <f t="shared" si="4"/>
        <v>1.65</v>
      </c>
    </row>
  </sheetData>
  <mergeCells count="3">
    <mergeCell ref="B3:B4"/>
    <mergeCell ref="D3:D4"/>
    <mergeCell ref="F3:F4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C3" s="28" t="s">
        <v>49</v>
      </c>
      <c r="D3" s="29"/>
      <c r="E3" s="29"/>
      <c r="F3" s="29"/>
      <c r="G3" s="29"/>
      <c r="H3" s="29"/>
      <c r="I3" s="29"/>
    </row>
    <row r="4">
      <c r="C4" s="30" t="s">
        <v>50</v>
      </c>
      <c r="D4" s="31"/>
      <c r="E4" s="31"/>
      <c r="F4" s="31"/>
    </row>
    <row r="7">
      <c r="C7" s="32" t="s">
        <v>51</v>
      </c>
      <c r="D7" s="2" t="s">
        <v>52</v>
      </c>
      <c r="E7" s="32" t="s">
        <v>53</v>
      </c>
      <c r="F7" s="32" t="s">
        <v>54</v>
      </c>
      <c r="G7" s="2" t="s">
        <v>55</v>
      </c>
      <c r="H7" s="32" t="s">
        <v>56</v>
      </c>
    </row>
  </sheetData>
  <drawing r:id="rId1"/>
</worksheet>
</file>
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</sheets>
  <definedNames/>
  <calcPr/>
</workbook>
</file>

<file path=xl/sharedStrings.xml><?xml version="1.0" encoding="utf-8"?>
<sst xmlns="http://schemas.openxmlformats.org/spreadsheetml/2006/main" count="58" uniqueCount="57">
  <si>
    <t>CÁLCULO DE LA FRACTURA DE LA COMPAÑÍA ELÉCTRICA</t>
  </si>
  <si>
    <t>KWh.=</t>
  </si>
  <si>
    <t>0,055Є</t>
  </si>
  <si>
    <t>APARATO</t>
  </si>
  <si>
    <t xml:space="preserve">POTENCIA                                                   </t>
  </si>
  <si>
    <t>Horas de funcionamiento diarias</t>
  </si>
  <si>
    <t>POTENCIA</t>
  </si>
  <si>
    <t>Horas mensuales</t>
  </si>
  <si>
    <t>ENERGÍA</t>
  </si>
  <si>
    <t>Coste</t>
  </si>
  <si>
    <t xml:space="preserve">WATIOS                                                </t>
  </si>
  <si>
    <t>KW</t>
  </si>
  <si>
    <t>KWh</t>
  </si>
  <si>
    <t>€</t>
  </si>
  <si>
    <t>TELEVISIÓN</t>
  </si>
  <si>
    <t>ORDENADOR</t>
  </si>
  <si>
    <t>ILUMINACIÓN</t>
  </si>
  <si>
    <t>LAVADORA</t>
  </si>
  <si>
    <t>SECADORA</t>
  </si>
  <si>
    <t>PLACHA</t>
  </si>
  <si>
    <t>TOTAL:</t>
  </si>
  <si>
    <t>IVA 16%:</t>
  </si>
  <si>
    <t>TOTAL CON IVA:</t>
  </si>
  <si>
    <t>COMPAÑIA ESPAÑOLA DE CAMPOS DE FÚTBOL</t>
  </si>
  <si>
    <t>Estudio de rentabilidad año 2014</t>
  </si>
  <si>
    <t>Localidad</t>
  </si>
  <si>
    <t>Nº de plazas</t>
  </si>
  <si>
    <t>Promedio de ocupación</t>
  </si>
  <si>
    <t>Porcentaje de ocupación</t>
  </si>
  <si>
    <t>Diferencia</t>
  </si>
  <si>
    <t>¿Es rentable?   SÍ/NO</t>
  </si>
  <si>
    <t>Madrid</t>
  </si>
  <si>
    <t>Barcelona</t>
  </si>
  <si>
    <t>Valencia</t>
  </si>
  <si>
    <t>Zaragoza</t>
  </si>
  <si>
    <t>Sevilla</t>
  </si>
  <si>
    <t>Bilbao</t>
  </si>
  <si>
    <t>Nº de campos rentables:</t>
  </si>
  <si>
    <t>Nº de campos no rentables:</t>
  </si>
  <si>
    <t>¿Es rentable o no?</t>
  </si>
  <si>
    <t>NO</t>
  </si>
  <si>
    <t>POBLACIÓN DE ARAGÓN EN 2013</t>
  </si>
  <si>
    <t xml:space="preserve">       Edad</t>
  </si>
  <si>
    <t xml:space="preserve">     Hombres </t>
  </si>
  <si>
    <t xml:space="preserve">      Mujeres</t>
  </si>
  <si>
    <t xml:space="preserve">       Total</t>
  </si>
  <si>
    <t>0 a 9</t>
  </si>
  <si>
    <t>10 a 19</t>
  </si>
  <si>
    <t>20 a 29</t>
  </si>
  <si>
    <t>30 a 39</t>
  </si>
  <si>
    <t>40 a 49</t>
  </si>
  <si>
    <t>50 a 59</t>
  </si>
  <si>
    <t>60 a 69</t>
  </si>
  <si>
    <t>70 a 79</t>
  </si>
  <si>
    <t>80 a 89</t>
  </si>
  <si>
    <t>90 y más</t>
  </si>
  <si>
    <t xml:space="preserve">            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</si>
</sst>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</font>
    <font>
      <sz val="20.0"/>
      <color theme="1"/>
      <name val="Arial"/>
      <scheme val="minor"/>
    </font>
    <font>
      <color rgb="FF3C78D8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1155CC"/>
        <bgColor rgb="FF1155CC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2" fontId="2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1" numFmtId="0" xfId="0" applyBorder="1" applyFont="1"/>
    <xf borderId="7" fillId="0" fontId="4" numFmtId="0" xfId="0" applyAlignment="1" applyBorder="1" applyFont="1">
      <alignment readingOrder="0"/>
    </xf>
    <xf borderId="7" fillId="0" fontId="4" numFmtId="3" xfId="0" applyAlignment="1" applyBorder="1" applyFont="1" applyNumberFormat="1">
      <alignment readingOrder="0"/>
    </xf>
    <xf borderId="8" fillId="3" fontId="5" numFmtId="0" xfId="0" applyAlignment="1" applyBorder="1" applyFont="1">
      <alignment vertical="bottom"/>
    </xf>
    <xf borderId="7" fillId="3" fontId="5" numFmtId="0" xfId="0" applyAlignment="1" applyBorder="1" applyFont="1">
      <alignment vertical="bottom"/>
    </xf>
    <xf borderId="8" fillId="3" fontId="5" numFmtId="0" xfId="0" applyAlignment="1" applyBorder="1" applyFont="1">
      <alignment shrinkToFit="0" vertical="bottom" wrapText="1"/>
    </xf>
    <xf borderId="9" fillId="0" fontId="3" numFmtId="0" xfId="0" applyBorder="1" applyFont="1"/>
    <xf borderId="10" fillId="0" fontId="3" numFmtId="0" xfId="0" applyBorder="1" applyFont="1"/>
    <xf borderId="7" fillId="3" fontId="5" numFmtId="164" xfId="0" applyAlignment="1" applyBorder="1" applyFont="1" applyNumberFormat="1">
      <alignment readingOrder="0" vertical="bottom"/>
    </xf>
    <xf borderId="7" fillId="0" fontId="5" numFmtId="0" xfId="0" applyAlignment="1" applyBorder="1" applyFont="1">
      <alignment readingOrder="0" vertical="bottom"/>
    </xf>
    <xf borderId="7" fillId="4" fontId="5" numFmtId="0" xfId="0" applyAlignment="1" applyBorder="1" applyFill="1" applyFont="1">
      <alignment vertical="bottom"/>
    </xf>
    <xf borderId="7" fillId="3" fontId="4" numFmtId="0" xfId="0" applyAlignment="1" applyBorder="1" applyFont="1">
      <alignment readingOrder="0"/>
    </xf>
    <xf borderId="7" fillId="4" fontId="1" numFmtId="0" xfId="0" applyBorder="1" applyFont="1"/>
    <xf borderId="11" fillId="3" fontId="4" numFmtId="0" xfId="0" applyAlignment="1" applyBorder="1" applyFont="1">
      <alignment readingOrder="0"/>
    </xf>
    <xf borderId="12" fillId="0" fontId="3" numFmtId="0" xfId="0" applyBorder="1" applyFont="1"/>
    <xf borderId="0" fillId="5" fontId="6" numFmtId="0" xfId="0" applyAlignment="1" applyFill="1" applyFont="1">
      <alignment horizontal="center" readingOrder="0"/>
    </xf>
    <xf borderId="0" fillId="6" fontId="4" numFmtId="0" xfId="0" applyAlignment="1" applyFill="1" applyFont="1">
      <alignment readingOrder="0" shrinkToFit="0" wrapText="0"/>
    </xf>
    <xf borderId="0" fillId="0" fontId="7" numFmtId="0" xfId="0" applyFont="1"/>
    <xf borderId="7" fillId="4" fontId="4" numFmtId="0" xfId="0" applyAlignment="1" applyBorder="1" applyFont="1">
      <alignment readingOrder="0"/>
    </xf>
    <xf borderId="7" fillId="4" fontId="4" numFmtId="0" xfId="0" applyAlignment="1" applyBorder="1" applyFont="1">
      <alignment readingOrder="0" shrinkToFit="0" wrapText="1"/>
    </xf>
    <xf borderId="7" fillId="7" fontId="4" numFmtId="0" xfId="0" applyAlignment="1" applyBorder="1" applyFill="1" applyFont="1">
      <alignment readingOrder="0"/>
    </xf>
    <xf borderId="7" fillId="8" fontId="1" numFmtId="0" xfId="0" applyAlignment="1" applyBorder="1" applyFill="1" applyFont="1">
      <alignment readingOrder="0"/>
    </xf>
    <xf borderId="7" fillId="9" fontId="1" numFmtId="0" xfId="0" applyAlignment="1" applyBorder="1" applyFill="1" applyFont="1">
      <alignment readingOrder="0"/>
    </xf>
    <xf borderId="7" fillId="9" fontId="1" numFmtId="0" xfId="0" applyBorder="1" applyFont="1"/>
    <xf borderId="0" fillId="0" fontId="4" numFmtId="0" xfId="0" applyAlignment="1" applyFont="1">
      <alignment readingOrder="0"/>
    </xf>
    <xf borderId="0" fillId="0" fontId="4" numFmtId="0" xfId="0" applyFont="1"/>
    <xf borderId="0" fillId="2" fontId="1" numFmtId="0" xfId="0" applyFont="1"/>
    <xf borderId="11" fillId="10" fontId="2" numFmtId="0" xfId="0" applyAlignment="1" applyBorder="1" applyFill="1" applyFont="1">
      <alignment readingOrder="0"/>
    </xf>
    <xf borderId="13" fillId="0" fontId="3" numFmtId="0" xfId="0" applyBorder="1" applyFont="1"/>
    <xf borderId="7" fillId="11" fontId="4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190500</xdr:colOff>
      <xdr:row>3</xdr:row>
      <xdr:rowOff>200025</xdr:rowOff>
    </xdr:from>
    <xdr:ext cx="3143250" cy="2038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</row>
    <row r="2">
      <c r="B2" s="3" t="s">
        <v>0</v>
      </c>
      <c r="C2" s="4"/>
      <c r="D2" s="4"/>
      <c r="E2" s="4"/>
      <c r="F2" s="4"/>
      <c r="G2" s="4"/>
      <c r="H2" s="5"/>
    </row>
    <row r="3">
      <c r="B3" s="6"/>
      <c r="C3" s="7"/>
      <c r="D3" s="7"/>
      <c r="E3" s="7"/>
      <c r="F3" s="7"/>
      <c r="G3" s="7"/>
      <c r="H3" s="8"/>
    </row>
    <row r="4" ht="22.5" customHeight="1">
      <c r="B4" s="9"/>
      <c r="C4" s="9"/>
      <c r="D4" s="9"/>
      <c r="E4" s="9"/>
      <c r="F4" s="9"/>
      <c r="G4" s="10" t="s">
        <v>1</v>
      </c>
      <c r="H4" s="11" t="s">
        <v>2</v>
      </c>
    </row>
    <row r="5">
      <c r="B5" s="12" t="s">
        <v>3</v>
      </c>
      <c r="C5" s="13" t="s">
        <v>4</v>
      </c>
      <c r="D5" s="14" t="s">
        <v>5</v>
      </c>
      <c r="E5" s="13" t="s">
        <v>6</v>
      </c>
      <c r="F5" s="14" t="s">
        <v>7</v>
      </c>
      <c r="G5" s="13" t="s">
        <v>8</v>
      </c>
      <c r="H5" s="12" t="s">
        <v>9</v>
      </c>
    </row>
    <row r="6">
      <c r="B6" s="15"/>
      <c r="C6" s="14" t="s">
        <v>10</v>
      </c>
      <c r="D6" s="15"/>
      <c r="E6" s="12" t="s">
        <v>11</v>
      </c>
      <c r="F6" s="15"/>
      <c r="G6" s="12" t="s">
        <v>12</v>
      </c>
      <c r="H6" s="16"/>
    </row>
    <row r="7">
      <c r="B7" s="16"/>
      <c r="C7" s="16"/>
      <c r="D7" s="16"/>
      <c r="E7" s="16"/>
      <c r="F7" s="16"/>
      <c r="G7" s="16"/>
      <c r="H7" s="17" t="s">
        <v>13</v>
      </c>
    </row>
    <row r="8">
      <c r="B8" s="18" t="s">
        <v>14</v>
      </c>
      <c r="C8" s="18">
        <v>150.0</v>
      </c>
      <c r="D8" s="18">
        <v>3.0</v>
      </c>
      <c r="E8" s="19">
        <f t="shared" ref="E8:E14" si="1">C8/1000</f>
        <v>0.15</v>
      </c>
      <c r="F8" s="19">
        <f t="shared" ref="F8:F14" si="2">D8*30</f>
        <v>90</v>
      </c>
      <c r="G8" s="19">
        <f t="shared" ref="G8:G14" si="3">E8*F8</f>
        <v>13.5</v>
      </c>
      <c r="H8" s="19">
        <f t="shared" ref="H8:H14" si="4">G8*0.055</f>
        <v>0.7425</v>
      </c>
    </row>
    <row r="9">
      <c r="B9" s="18" t="s">
        <v>15</v>
      </c>
      <c r="C9" s="18">
        <v>250.0</v>
      </c>
      <c r="D9" s="18">
        <v>4.0</v>
      </c>
      <c r="E9" s="19">
        <f t="shared" si="1"/>
        <v>0.25</v>
      </c>
      <c r="F9" s="19">
        <f t="shared" si="2"/>
        <v>120</v>
      </c>
      <c r="G9" s="19">
        <f t="shared" si="3"/>
        <v>30</v>
      </c>
      <c r="H9" s="19">
        <f t="shared" si="4"/>
        <v>1.65</v>
      </c>
    </row>
    <row r="10">
      <c r="B10" s="18" t="s">
        <v>16</v>
      </c>
      <c r="C10" s="18">
        <v>500.0</v>
      </c>
      <c r="D10" s="18">
        <v>5.0</v>
      </c>
      <c r="E10" s="19">
        <f t="shared" si="1"/>
        <v>0.5</v>
      </c>
      <c r="F10" s="19">
        <f t="shared" si="2"/>
        <v>150</v>
      </c>
      <c r="G10" s="19">
        <f t="shared" si="3"/>
        <v>75</v>
      </c>
      <c r="H10" s="19">
        <f t="shared" si="4"/>
        <v>4.125</v>
      </c>
    </row>
    <row r="11">
      <c r="B11" s="18" t="s">
        <v>17</v>
      </c>
      <c r="C11" s="18">
        <v>2000.0</v>
      </c>
      <c r="D11" s="18">
        <v>2.0</v>
      </c>
      <c r="E11" s="19">
        <f t="shared" si="1"/>
        <v>2</v>
      </c>
      <c r="F11" s="19">
        <f t="shared" si="2"/>
        <v>60</v>
      </c>
      <c r="G11" s="19">
        <f t="shared" si="3"/>
        <v>120</v>
      </c>
      <c r="H11" s="19">
        <f t="shared" si="4"/>
        <v>6.6</v>
      </c>
    </row>
    <row r="12">
      <c r="B12" s="18" t="s">
        <v>18</v>
      </c>
      <c r="C12" s="18">
        <v>2000.0</v>
      </c>
      <c r="D12" s="18">
        <v>2.0</v>
      </c>
      <c r="E12" s="19">
        <f t="shared" si="1"/>
        <v>2</v>
      </c>
      <c r="F12" s="19">
        <f t="shared" si="2"/>
        <v>60</v>
      </c>
      <c r="G12" s="19">
        <f t="shared" si="3"/>
        <v>120</v>
      </c>
      <c r="H12" s="19">
        <f t="shared" si="4"/>
        <v>6.6</v>
      </c>
    </row>
    <row r="13">
      <c r="B13" s="18" t="s">
        <v>19</v>
      </c>
      <c r="C13" s="18">
        <v>1100.0</v>
      </c>
      <c r="D13" s="18">
        <v>1.0</v>
      </c>
      <c r="E13" s="19">
        <f t="shared" si="1"/>
        <v>1.1</v>
      </c>
      <c r="F13" s="19">
        <f t="shared" si="2"/>
        <v>30</v>
      </c>
      <c r="G13" s="19">
        <f t="shared" si="3"/>
        <v>33</v>
      </c>
      <c r="H13" s="19">
        <f t="shared" si="4"/>
        <v>1.815</v>
      </c>
    </row>
    <row r="14">
      <c r="B14" s="18" t="s">
        <v>15</v>
      </c>
      <c r="C14" s="18">
        <v>250.0</v>
      </c>
      <c r="D14" s="18">
        <v>4.0</v>
      </c>
      <c r="E14" s="19">
        <f t="shared" si="1"/>
        <v>0.25</v>
      </c>
      <c r="F14" s="19">
        <f t="shared" si="2"/>
        <v>120</v>
      </c>
      <c r="G14" s="19">
        <f t="shared" si="3"/>
        <v>30</v>
      </c>
      <c r="H14" s="19">
        <f t="shared" si="4"/>
        <v>1.65</v>
      </c>
    </row>
    <row r="16">
      <c r="G16" s="20" t="s">
        <v>20</v>
      </c>
      <c r="H16" s="21">
        <f>SUM(H8:H14)</f>
        <v>23.1825</v>
      </c>
    </row>
    <row r="18">
      <c r="G18" s="20" t="s">
        <v>21</v>
      </c>
      <c r="H18" s="21">
        <f>H16*0.16</f>
        <v>3.7092</v>
      </c>
    </row>
    <row r="20">
      <c r="F20" s="22" t="s">
        <v>22</v>
      </c>
      <c r="G20" s="23"/>
      <c r="H20" s="21">
        <f>H16+H18</f>
        <v>26.8917</v>
      </c>
    </row>
  </sheetData>
  <mergeCells count="9">
    <mergeCell ref="G6:G7"/>
    <mergeCell ref="F20:G20"/>
    <mergeCell ref="B2:H3"/>
    <mergeCell ref="B5:B7"/>
    <mergeCell ref="D5:D7"/>
    <mergeCell ref="F5:F7"/>
    <mergeCell ref="H5:H6"/>
    <mergeCell ref="C6:C7"/>
    <mergeCell ref="E6:E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</cols>
  <sheetData>
    <row r="3">
      <c r="B3" s="24" t="s">
        <v>23</v>
      </c>
    </row>
    <row r="4">
      <c r="B4" s="25" t="s">
        <v>24</v>
      </c>
      <c r="D4" s="26"/>
    </row>
    <row r="6" ht="30.75" customHeight="1">
      <c r="B6" s="27" t="s">
        <v>25</v>
      </c>
      <c r="C6" s="27" t="s">
        <v>26</v>
      </c>
      <c r="D6" s="28" t="s">
        <v>27</v>
      </c>
      <c r="E6" s="28" t="s">
        <v>28</v>
      </c>
      <c r="F6" s="27" t="s">
        <v>29</v>
      </c>
      <c r="G6" s="28" t="s">
        <v>30</v>
      </c>
    </row>
    <row r="7">
      <c r="B7" s="29" t="s">
        <v>31</v>
      </c>
      <c r="C7" s="30">
        <v>65000.0</v>
      </c>
      <c r="D7" s="31">
        <v>48000.0</v>
      </c>
      <c r="E7" s="32">
        <f t="shared" ref="E7:E12" si="1">D7*100/C7</f>
        <v>73.84615385</v>
      </c>
      <c r="F7" s="32">
        <f t="shared" ref="F7:F12" si="2">C7-D7</f>
        <v>17000</v>
      </c>
      <c r="G7" s="32" t="str">
        <f t="shared" ref="G7:G12" si="3">IF(E7&gt;60,"si","no")</f>
        <v>si</v>
      </c>
    </row>
    <row r="8">
      <c r="B8" s="29" t="s">
        <v>32</v>
      </c>
      <c r="C8" s="30">
        <v>57000.0</v>
      </c>
      <c r="D8" s="31">
        <v>34000.0</v>
      </c>
      <c r="E8" s="32">
        <f t="shared" si="1"/>
        <v>59.64912281</v>
      </c>
      <c r="F8" s="32">
        <f t="shared" si="2"/>
        <v>23000</v>
      </c>
      <c r="G8" s="32" t="str">
        <f t="shared" si="3"/>
        <v>no</v>
      </c>
    </row>
    <row r="9">
      <c r="B9" s="29" t="s">
        <v>33</v>
      </c>
      <c r="C9" s="30">
        <v>45000.0</v>
      </c>
      <c r="D9" s="31">
        <v>27000.0</v>
      </c>
      <c r="E9" s="32">
        <f t="shared" si="1"/>
        <v>60</v>
      </c>
      <c r="F9" s="32">
        <f t="shared" si="2"/>
        <v>18000</v>
      </c>
      <c r="G9" s="32" t="str">
        <f t="shared" si="3"/>
        <v>no</v>
      </c>
    </row>
    <row r="10">
      <c r="B10" s="29" t="s">
        <v>34</v>
      </c>
      <c r="C10" s="30">
        <v>30000.0</v>
      </c>
      <c r="D10" s="31">
        <v>17000.0</v>
      </c>
      <c r="E10" s="32">
        <f t="shared" si="1"/>
        <v>56.66666667</v>
      </c>
      <c r="F10" s="32">
        <f t="shared" si="2"/>
        <v>13000</v>
      </c>
      <c r="G10" s="32" t="str">
        <f t="shared" si="3"/>
        <v>no</v>
      </c>
    </row>
    <row r="11">
      <c r="B11" s="29" t="s">
        <v>35</v>
      </c>
      <c r="C11" s="30">
        <v>25000.0</v>
      </c>
      <c r="D11" s="31">
        <v>21000.0</v>
      </c>
      <c r="E11" s="32">
        <f t="shared" si="1"/>
        <v>84</v>
      </c>
      <c r="F11" s="32">
        <f t="shared" si="2"/>
        <v>4000</v>
      </c>
      <c r="G11" s="32" t="str">
        <f t="shared" si="3"/>
        <v>si</v>
      </c>
    </row>
    <row r="12">
      <c r="B12" s="29" t="s">
        <v>36</v>
      </c>
      <c r="C12" s="30">
        <v>20000.0</v>
      </c>
      <c r="D12" s="31">
        <v>9000.0</v>
      </c>
      <c r="E12" s="32">
        <f t="shared" si="1"/>
        <v>45</v>
      </c>
      <c r="F12" s="32">
        <f t="shared" si="2"/>
        <v>11000</v>
      </c>
      <c r="G12" s="32" t="str">
        <f t="shared" si="3"/>
        <v>no</v>
      </c>
    </row>
    <row r="14">
      <c r="E14" s="33" t="s">
        <v>37</v>
      </c>
      <c r="F14" s="34"/>
      <c r="G14" s="31">
        <v>2.0</v>
      </c>
    </row>
    <row r="15">
      <c r="E15" s="33" t="s">
        <v>38</v>
      </c>
      <c r="F15" s="34"/>
      <c r="G15" s="31">
        <v>4.0</v>
      </c>
    </row>
    <row r="16">
      <c r="E16" s="34"/>
      <c r="F16" s="34"/>
      <c r="G16" s="35"/>
    </row>
    <row r="17">
      <c r="E17" s="33" t="s">
        <v>39</v>
      </c>
      <c r="F17" s="34"/>
      <c r="G17" s="31" t="s">
        <v>40</v>
      </c>
    </row>
  </sheetData>
  <mergeCells count="2">
    <mergeCell ref="B3:H3"/>
    <mergeCell ref="B4:C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F5" s="36" t="s">
        <v>41</v>
      </c>
      <c r="G5" s="37"/>
      <c r="H5" s="37"/>
      <c r="I5" s="23"/>
    </row>
    <row r="7" ht="27.75" customHeight="1">
      <c r="F7" s="38" t="s">
        <v>42</v>
      </c>
      <c r="G7" s="38" t="s">
        <v>43</v>
      </c>
      <c r="H7" s="38" t="s">
        <v>44</v>
      </c>
      <c r="I7" s="38" t="s">
        <v>45</v>
      </c>
    </row>
    <row r="8">
      <c r="F8" s="10" t="s">
        <v>46</v>
      </c>
      <c r="G8" s="11">
        <v>65636.0</v>
      </c>
      <c r="H8" s="11">
        <v>62431.0</v>
      </c>
      <c r="I8" s="11">
        <v>128067.0</v>
      </c>
    </row>
    <row r="9">
      <c r="F9" s="10" t="s">
        <v>47</v>
      </c>
      <c r="G9" s="11">
        <v>60839.0</v>
      </c>
      <c r="H9" s="11">
        <v>57037.0</v>
      </c>
      <c r="I9" s="11">
        <v>117876.0</v>
      </c>
    </row>
    <row r="10">
      <c r="F10" s="10" t="s">
        <v>48</v>
      </c>
      <c r="G10" s="11">
        <v>74930.0</v>
      </c>
      <c r="H10" s="11">
        <v>71642.0</v>
      </c>
      <c r="I10" s="11">
        <v>146572.0</v>
      </c>
    </row>
    <row r="11">
      <c r="F11" s="10" t="s">
        <v>49</v>
      </c>
      <c r="G11" s="11">
        <v>112530.0</v>
      </c>
      <c r="H11" s="11">
        <v>102269.0</v>
      </c>
      <c r="I11" s="11">
        <v>214799.0</v>
      </c>
    </row>
    <row r="12">
      <c r="F12" s="10" t="s">
        <v>50</v>
      </c>
      <c r="G12" s="11">
        <v>110586.0</v>
      </c>
      <c r="H12" s="11">
        <v>102572.0</v>
      </c>
      <c r="I12" s="11">
        <v>213158.0</v>
      </c>
    </row>
    <row r="13">
      <c r="F13" s="10" t="s">
        <v>51</v>
      </c>
      <c r="G13" s="11">
        <v>91056.0</v>
      </c>
      <c r="H13" s="11">
        <v>89068.0</v>
      </c>
      <c r="I13" s="11">
        <v>180124.0</v>
      </c>
    </row>
    <row r="14">
      <c r="F14" s="10" t="s">
        <v>52</v>
      </c>
      <c r="G14" s="11">
        <v>68921.0</v>
      </c>
      <c r="H14" s="11">
        <v>72800.0</v>
      </c>
      <c r="I14" s="11">
        <v>141721.0</v>
      </c>
    </row>
    <row r="15">
      <c r="F15" s="10" t="s">
        <v>53</v>
      </c>
      <c r="G15" s="11">
        <v>49194.0</v>
      </c>
      <c r="H15" s="11">
        <v>59582.0</v>
      </c>
      <c r="I15" s="11">
        <v>108776.0</v>
      </c>
    </row>
    <row r="16">
      <c r="F16" s="10" t="s">
        <v>54</v>
      </c>
      <c r="G16" s="11">
        <v>31722.0</v>
      </c>
      <c r="H16" s="11">
        <v>48478.0</v>
      </c>
      <c r="I16" s="11">
        <v>80200.0</v>
      </c>
    </row>
    <row r="17">
      <c r="F17" s="10" t="s">
        <v>55</v>
      </c>
      <c r="G17" s="11">
        <v>4573.0</v>
      </c>
      <c r="H17" s="11">
        <v>11284.0</v>
      </c>
      <c r="I17" s="11">
        <v>15857.0</v>
      </c>
    </row>
    <row r="18">
      <c r="F18" s="10" t="s">
        <v>56</v>
      </c>
      <c r="G18" s="11">
        <v>669987.0</v>
      </c>
      <c r="H18" s="11">
        <v>677163.0</v>
      </c>
      <c r="I18" s="11">
        <v>1347150.0</v>
      </c>
    </row>
  </sheetData>
  <mergeCells count="1">
    <mergeCell ref="F5:I5"/>
  </mergeCells>
  <drawing r:id="rId1"/>
</worksheet>
</file>
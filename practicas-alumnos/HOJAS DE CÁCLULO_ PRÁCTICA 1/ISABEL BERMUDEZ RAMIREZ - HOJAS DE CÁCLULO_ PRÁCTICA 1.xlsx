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 1" sheetId="1" r:id="rId5"/>
    <sheet state="visible" name="ACT 2" sheetId="2" r:id="rId6"/>
    <sheet state="visible" name="ACT 3 " sheetId="3" r:id="rId7"/>
    <sheet state="visible" name="ACT 4" sheetId="4" r:id="rId8"/>
    <sheet state="visible" name="ACT 5" sheetId="5" r:id="rId9"/>
  </sheets>
  <definedNames/>
  <calcPr/>
</workbook>
</file>

<file path=xl/sharedStrings.xml><?xml version="1.0" encoding="utf-8"?>
<sst xmlns="http://schemas.openxmlformats.org/spreadsheetml/2006/main" count="75" uniqueCount="65">
  <si>
    <t>Número</t>
  </si>
  <si>
    <t>Tabla</t>
  </si>
  <si>
    <t>Operación</t>
  </si>
  <si>
    <t>Resulrado</t>
  </si>
  <si>
    <t>X</t>
  </si>
  <si>
    <t>Enero</t>
  </si>
  <si>
    <t>Febrero</t>
  </si>
  <si>
    <t>Marzo</t>
  </si>
  <si>
    <t>Total Trimestre</t>
  </si>
  <si>
    <t>Luz</t>
  </si>
  <si>
    <t>Comida</t>
  </si>
  <si>
    <t>Ocio</t>
  </si>
  <si>
    <t>Wifi</t>
  </si>
  <si>
    <t>Netflix</t>
  </si>
  <si>
    <t>TOTAL</t>
  </si>
  <si>
    <t>Tabla notas mis compañeros de clase</t>
  </si>
  <si>
    <t>Nombre</t>
  </si>
  <si>
    <t>Nota 1</t>
  </si>
  <si>
    <t>Nota 2</t>
  </si>
  <si>
    <t>Nota 3</t>
  </si>
  <si>
    <t>Nota media</t>
  </si>
  <si>
    <t>Meryam</t>
  </si>
  <si>
    <t>Asmaa</t>
  </si>
  <si>
    <t>Chaima</t>
  </si>
  <si>
    <t>Hajar</t>
  </si>
  <si>
    <t>Ibtisam</t>
  </si>
  <si>
    <t>Yassmin</t>
  </si>
  <si>
    <t>CALCULO DE LA FACTURA DE UNA COMPAÑIA ELECTRICA</t>
  </si>
  <si>
    <t>KWh:</t>
  </si>
  <si>
    <t>Potencia</t>
  </si>
  <si>
    <t>Horas de funcionamiento</t>
  </si>
  <si>
    <t>Horas</t>
  </si>
  <si>
    <t>Energia</t>
  </si>
  <si>
    <t>Coste</t>
  </si>
  <si>
    <t>Watios</t>
  </si>
  <si>
    <t>diarias</t>
  </si>
  <si>
    <t>KW</t>
  </si>
  <si>
    <t>Mensuales</t>
  </si>
  <si>
    <t>KWh</t>
  </si>
  <si>
    <t>€</t>
  </si>
  <si>
    <t>Lavadora</t>
  </si>
  <si>
    <t>Televisor</t>
  </si>
  <si>
    <t>Frigorifico</t>
  </si>
  <si>
    <t>Lavavajillas</t>
  </si>
  <si>
    <t>Iluminacion</t>
  </si>
  <si>
    <t>Plancha</t>
  </si>
  <si>
    <t>Ordenador</t>
  </si>
  <si>
    <t>Total:</t>
  </si>
  <si>
    <t>IVA 16%:</t>
  </si>
  <si>
    <t>Total con IVA:</t>
  </si>
  <si>
    <t>Localidad</t>
  </si>
  <si>
    <t>Nº de plazas</t>
  </si>
  <si>
    <t>Promedio de ocupacion</t>
  </si>
  <si>
    <t>Porcentaje de ocupacion</t>
  </si>
  <si>
    <t>Diferencia</t>
  </si>
  <si>
    <t>¿Es rentable? SI/NO</t>
  </si>
  <si>
    <t>Madrid</t>
  </si>
  <si>
    <t>Barcelona</t>
  </si>
  <si>
    <t>Valencia</t>
  </si>
  <si>
    <t>Zaragoza</t>
  </si>
  <si>
    <t>Sevilla</t>
  </si>
  <si>
    <t>Bilbao</t>
  </si>
  <si>
    <t>N°de campos rentables:</t>
  </si>
  <si>
    <t>N°de campos no rentables:</t>
  </si>
  <si>
    <t>¿Es rentable en conjunto?: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</si>
</sst>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9.0"/>
      <color theme="1"/>
      <name val="Arial"/>
      <scheme val="minor"/>
    </font>
    <font>
      <sz val="12.0"/>
      <color rgb="FF474747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E1B4E3"/>
        <bgColor rgb="FFE1B4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Border="1" applyFill="1" applyFont="1"/>
    <xf borderId="1" fillId="4" fontId="1" numFmtId="0" xfId="0" applyBorder="1" applyFill="1" applyFont="1"/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horizontal="left" readingOrder="0" shrinkToFit="0" vertical="center" wrapText="0"/>
    </xf>
    <xf borderId="1" fillId="5" fontId="1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left" readingOrder="0"/>
    </xf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1" numFmtId="0" xfId="0" applyBorder="1" applyFont="1"/>
    <xf borderId="0" fillId="0" fontId="1" numFmtId="0" xfId="0" applyAlignment="1" applyFont="1">
      <alignment readingOrder="0"/>
    </xf>
    <xf borderId="1" fillId="2" fontId="1" numFmtId="0" xfId="0" applyBorder="1" applyFont="1"/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FA2D5"/>
          <bgColor rgb="FFCFA2D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FA2D5"/>
        </left>
        <right style="thin">
          <color rgb="FFCFA2D5"/>
        </right>
        <top style="thin">
          <color rgb="FFCFA2D5"/>
        </top>
        <bottom style="thin">
          <color rgb="FFCFA2D5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ACT 3 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F10" displayName="Tabla_notas_de_mis_compañeros_de_clase" name="Tabla_notas_de_mis_compañeros_de_clase" id="1">
  <tableColumns count="5">
    <tableColumn name="Nombre" id="1"/>
    <tableColumn name="Nota 1" id="2"/>
    <tableColumn name="Nota 2" id="3"/>
    <tableColumn name="Nota 3" id="4"/>
    <tableColumn name="Nota media" id="5"/>
  </tableColumns>
  <tableStyleInfo name="ACT 3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>
        <v>5.0</v>
      </c>
      <c r="C2" s="2" t="s">
        <v>4</v>
      </c>
      <c r="D2" s="2">
        <v>1.0</v>
      </c>
      <c r="E2" s="3">
        <f t="shared" ref="E2:E11" si="1">B2*D2</f>
        <v>5</v>
      </c>
    </row>
    <row r="3">
      <c r="B3" s="2">
        <f t="shared" ref="B3:B11" si="2">B2</f>
        <v>5</v>
      </c>
      <c r="C3" s="2" t="s">
        <v>4</v>
      </c>
      <c r="D3" s="3">
        <f t="shared" ref="D3:D11" si="3">D2+1</f>
        <v>2</v>
      </c>
      <c r="E3" s="3">
        <f t="shared" si="1"/>
        <v>10</v>
      </c>
    </row>
    <row r="4">
      <c r="B4" s="2">
        <f t="shared" si="2"/>
        <v>5</v>
      </c>
      <c r="C4" s="2" t="s">
        <v>4</v>
      </c>
      <c r="D4" s="3">
        <f t="shared" si="3"/>
        <v>3</v>
      </c>
      <c r="E4" s="3">
        <f t="shared" si="1"/>
        <v>15</v>
      </c>
    </row>
    <row r="5">
      <c r="B5" s="2">
        <f t="shared" si="2"/>
        <v>5</v>
      </c>
      <c r="C5" s="2" t="s">
        <v>4</v>
      </c>
      <c r="D5" s="3">
        <f t="shared" si="3"/>
        <v>4</v>
      </c>
      <c r="E5" s="3">
        <f t="shared" si="1"/>
        <v>20</v>
      </c>
    </row>
    <row r="6">
      <c r="B6" s="2">
        <f t="shared" si="2"/>
        <v>5</v>
      </c>
      <c r="C6" s="2" t="s">
        <v>4</v>
      </c>
      <c r="D6" s="3">
        <f t="shared" si="3"/>
        <v>5</v>
      </c>
      <c r="E6" s="3">
        <f t="shared" si="1"/>
        <v>25</v>
      </c>
    </row>
    <row r="7">
      <c r="B7" s="2">
        <f t="shared" si="2"/>
        <v>5</v>
      </c>
      <c r="C7" s="2" t="s">
        <v>4</v>
      </c>
      <c r="D7" s="3">
        <f t="shared" si="3"/>
        <v>6</v>
      </c>
      <c r="E7" s="3">
        <f t="shared" si="1"/>
        <v>30</v>
      </c>
    </row>
    <row r="8">
      <c r="B8" s="2">
        <f t="shared" si="2"/>
        <v>5</v>
      </c>
      <c r="C8" s="2" t="s">
        <v>4</v>
      </c>
      <c r="D8" s="3">
        <f t="shared" si="3"/>
        <v>7</v>
      </c>
      <c r="E8" s="3">
        <f t="shared" si="1"/>
        <v>35</v>
      </c>
    </row>
    <row r="9">
      <c r="B9" s="2">
        <f t="shared" si="2"/>
        <v>5</v>
      </c>
      <c r="C9" s="2" t="s">
        <v>4</v>
      </c>
      <c r="D9" s="3">
        <f t="shared" si="3"/>
        <v>8</v>
      </c>
      <c r="E9" s="3">
        <f t="shared" si="1"/>
        <v>40</v>
      </c>
    </row>
    <row r="10">
      <c r="B10" s="2">
        <f t="shared" si="2"/>
        <v>5</v>
      </c>
      <c r="C10" s="2" t="s">
        <v>4</v>
      </c>
      <c r="D10" s="3">
        <f t="shared" si="3"/>
        <v>9</v>
      </c>
      <c r="E10" s="3">
        <f t="shared" si="1"/>
        <v>45</v>
      </c>
    </row>
    <row r="11">
      <c r="B11" s="2">
        <f t="shared" si="2"/>
        <v>5</v>
      </c>
      <c r="C11" s="2" t="s">
        <v>4</v>
      </c>
      <c r="D11" s="3">
        <f t="shared" si="3"/>
        <v>10</v>
      </c>
      <c r="E11" s="3">
        <f t="shared" si="1"/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5</v>
      </c>
      <c r="D1" s="1" t="s">
        <v>6</v>
      </c>
      <c r="E1" s="1" t="s">
        <v>7</v>
      </c>
      <c r="G1" s="1" t="s">
        <v>8</v>
      </c>
    </row>
    <row r="2">
      <c r="B2" s="1" t="s">
        <v>9</v>
      </c>
      <c r="C2" s="2">
        <v>95.0</v>
      </c>
      <c r="D2" s="2">
        <v>85.0</v>
      </c>
      <c r="E2" s="2">
        <v>80.0</v>
      </c>
      <c r="G2" s="4">
        <f t="shared" ref="G2:G6" si="1">SUM(C2:E2)</f>
        <v>260</v>
      </c>
    </row>
    <row r="3">
      <c r="B3" s="1" t="s">
        <v>10</v>
      </c>
      <c r="C3" s="2">
        <v>175.0</v>
      </c>
      <c r="D3" s="2">
        <v>200.0</v>
      </c>
      <c r="E3" s="2">
        <v>165.0</v>
      </c>
      <c r="G3" s="4">
        <f t="shared" si="1"/>
        <v>540</v>
      </c>
    </row>
    <row r="4">
      <c r="B4" s="1" t="s">
        <v>11</v>
      </c>
      <c r="C4" s="2">
        <v>54.0</v>
      </c>
      <c r="D4" s="2">
        <v>30.0</v>
      </c>
      <c r="E4" s="2">
        <v>65.0</v>
      </c>
      <c r="G4" s="4">
        <f t="shared" si="1"/>
        <v>149</v>
      </c>
    </row>
    <row r="5">
      <c r="B5" s="1" t="s">
        <v>12</v>
      </c>
      <c r="C5" s="2">
        <v>50.0</v>
      </c>
      <c r="D5" s="2">
        <v>45.0</v>
      </c>
      <c r="E5" s="2">
        <v>60.0</v>
      </c>
      <c r="G5" s="4">
        <f t="shared" si="1"/>
        <v>155</v>
      </c>
    </row>
    <row r="6">
      <c r="B6" s="1" t="s">
        <v>13</v>
      </c>
      <c r="C6" s="2">
        <v>15.0</v>
      </c>
      <c r="D6" s="2">
        <v>15.0</v>
      </c>
      <c r="E6" s="2">
        <v>15.0</v>
      </c>
      <c r="G6" s="4">
        <f t="shared" si="1"/>
        <v>45</v>
      </c>
    </row>
    <row r="8">
      <c r="B8" s="1" t="s">
        <v>14</v>
      </c>
      <c r="C8" s="4">
        <f t="shared" ref="C8:E8" si="2">SUM(C2:C6)</f>
        <v>389</v>
      </c>
      <c r="D8" s="4">
        <f t="shared" si="2"/>
        <v>375</v>
      </c>
      <c r="E8" s="4">
        <f t="shared" si="2"/>
        <v>385</v>
      </c>
      <c r="G8" s="5">
        <f>SUM(C8:E8)</f>
        <v>1149</v>
      </c>
    </row>
  </sheetData>
  <conditionalFormatting sqref="G8">
    <cfRule type="cellIs" dxfId="0" priority="1" operator="greaterThan">
      <formula>15000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13"/>
  </cols>
  <sheetData>
    <row r="2">
      <c r="B2" s="6" t="s">
        <v>15</v>
      </c>
      <c r="C2" s="7"/>
      <c r="D2" s="7"/>
    </row>
    <row r="4" ht="22.5" customHeight="1"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</row>
    <row r="5" ht="22.5" customHeight="1">
      <c r="B5" s="9" t="s">
        <v>21</v>
      </c>
      <c r="C5" s="10">
        <v>2.55</v>
      </c>
      <c r="D5" s="10">
        <v>8.0</v>
      </c>
      <c r="E5" s="10">
        <v>7.44</v>
      </c>
      <c r="F5" s="11">
        <f t="shared" ref="F5:F10" si="1">AVERAGE(C5:E5)</f>
        <v>5.996666667</v>
      </c>
    </row>
    <row r="6" ht="22.5" customHeight="1">
      <c r="B6" s="9" t="s">
        <v>22</v>
      </c>
      <c r="C6" s="10">
        <v>1.25</v>
      </c>
      <c r="D6" s="10">
        <v>6.0</v>
      </c>
      <c r="E6" s="10">
        <v>8.0</v>
      </c>
      <c r="F6" s="11">
        <f t="shared" si="1"/>
        <v>5.083333333</v>
      </c>
    </row>
    <row r="7" ht="22.5" customHeight="1">
      <c r="B7" s="9" t="s">
        <v>23</v>
      </c>
      <c r="C7" s="10">
        <v>7.0</v>
      </c>
      <c r="D7" s="10">
        <v>8.25</v>
      </c>
      <c r="E7" s="10">
        <v>7.2</v>
      </c>
      <c r="F7" s="11">
        <f t="shared" si="1"/>
        <v>7.483333333</v>
      </c>
    </row>
    <row r="8" ht="22.5" customHeight="1">
      <c r="B8" s="9" t="s">
        <v>24</v>
      </c>
      <c r="C8" s="10">
        <v>7.0</v>
      </c>
      <c r="D8" s="10">
        <v>8.0</v>
      </c>
      <c r="E8" s="10">
        <v>5.0</v>
      </c>
      <c r="F8" s="11">
        <f t="shared" si="1"/>
        <v>6.666666667</v>
      </c>
    </row>
    <row r="9" ht="22.5" customHeight="1">
      <c r="B9" s="9" t="s">
        <v>25</v>
      </c>
      <c r="C9" s="10">
        <v>8.0</v>
      </c>
      <c r="D9" s="10">
        <v>9.0</v>
      </c>
      <c r="E9" s="10">
        <v>5.0</v>
      </c>
      <c r="F9" s="11">
        <f t="shared" si="1"/>
        <v>7.333333333</v>
      </c>
    </row>
    <row r="10" ht="22.5" customHeight="1">
      <c r="B10" s="9" t="s">
        <v>26</v>
      </c>
      <c r="C10" s="10">
        <v>9.75</v>
      </c>
      <c r="D10" s="10">
        <v>5.15</v>
      </c>
      <c r="E10" s="10">
        <v>6.0</v>
      </c>
      <c r="F10" s="11">
        <f t="shared" si="1"/>
        <v>6.966666667</v>
      </c>
    </row>
  </sheetData>
  <conditionalFormatting sqref="C5:F10">
    <cfRule type="cellIs" dxfId="6" priority="1" operator="greaterThanOrEqual">
      <formula>5</formula>
    </cfRule>
  </conditionalFormatting>
  <conditionalFormatting sqref="C5:F10">
    <cfRule type="cellIs" dxfId="7" priority="2" operator="lessThan">
      <formula>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</cols>
  <sheetData>
    <row r="1">
      <c r="B1" s="12" t="s">
        <v>27</v>
      </c>
      <c r="C1" s="13"/>
      <c r="D1" s="13"/>
      <c r="E1" s="13"/>
      <c r="F1" s="13"/>
      <c r="G1" s="13"/>
      <c r="H1" s="14"/>
    </row>
    <row r="2">
      <c r="B2" s="15"/>
      <c r="C2" s="16"/>
      <c r="D2" s="16"/>
      <c r="E2" s="16"/>
      <c r="F2" s="16"/>
      <c r="G2" s="16"/>
      <c r="H2" s="17"/>
    </row>
    <row r="3">
      <c r="G3" s="18" t="s">
        <v>28</v>
      </c>
      <c r="H3" s="18">
        <v>0.055</v>
      </c>
    </row>
    <row r="4">
      <c r="B4" s="19"/>
      <c r="C4" s="1" t="s">
        <v>29</v>
      </c>
      <c r="D4" s="1" t="s">
        <v>30</v>
      </c>
      <c r="E4" s="1" t="s">
        <v>29</v>
      </c>
      <c r="F4" s="1" t="s">
        <v>31</v>
      </c>
      <c r="G4" s="1" t="s">
        <v>32</v>
      </c>
      <c r="H4" s="1" t="s">
        <v>33</v>
      </c>
    </row>
    <row r="5">
      <c r="B5" s="19"/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20" t="s">
        <v>39</v>
      </c>
    </row>
    <row r="6">
      <c r="B6" s="1" t="s">
        <v>40</v>
      </c>
      <c r="C6" s="2">
        <v>2000.0</v>
      </c>
      <c r="D6" s="2">
        <v>2.0</v>
      </c>
      <c r="E6" s="3">
        <f t="shared" ref="E6:E12" si="1">C6/1000</f>
        <v>2</v>
      </c>
      <c r="F6" s="2">
        <f t="shared" ref="F6:F12" si="2">D6*30</f>
        <v>60</v>
      </c>
      <c r="G6" s="3">
        <f t="shared" ref="G6:G12" si="3">E6*F6</f>
        <v>120</v>
      </c>
      <c r="H6" s="3">
        <f>G6*H3</f>
        <v>6.6</v>
      </c>
    </row>
    <row r="7">
      <c r="B7" s="1" t="s">
        <v>41</v>
      </c>
      <c r="C7" s="2">
        <v>150.0</v>
      </c>
      <c r="D7" s="2">
        <v>5.0</v>
      </c>
      <c r="E7" s="3">
        <f t="shared" si="1"/>
        <v>0.15</v>
      </c>
      <c r="F7" s="2">
        <f t="shared" si="2"/>
        <v>150</v>
      </c>
      <c r="G7" s="3">
        <f t="shared" si="3"/>
        <v>22.5</v>
      </c>
      <c r="H7" s="3">
        <f>G7*H3</f>
        <v>1.2375</v>
      </c>
    </row>
    <row r="8">
      <c r="B8" s="1" t="s">
        <v>42</v>
      </c>
      <c r="C8" s="2">
        <v>300.0</v>
      </c>
      <c r="D8" s="2">
        <v>4.0</v>
      </c>
      <c r="E8" s="3">
        <f t="shared" si="1"/>
        <v>0.3</v>
      </c>
      <c r="F8" s="2">
        <f t="shared" si="2"/>
        <v>120</v>
      </c>
      <c r="G8" s="3">
        <f t="shared" si="3"/>
        <v>36</v>
      </c>
      <c r="H8" s="3">
        <f>G8*H3</f>
        <v>1.98</v>
      </c>
    </row>
    <row r="9">
      <c r="B9" s="1" t="s">
        <v>43</v>
      </c>
      <c r="C9" s="2">
        <v>1800.0</v>
      </c>
      <c r="D9" s="2">
        <v>1.5</v>
      </c>
      <c r="E9" s="3">
        <f t="shared" si="1"/>
        <v>1.8</v>
      </c>
      <c r="F9" s="2">
        <f t="shared" si="2"/>
        <v>45</v>
      </c>
      <c r="G9" s="3">
        <f t="shared" si="3"/>
        <v>81</v>
      </c>
      <c r="H9" s="3">
        <f>G9*H3</f>
        <v>4.455</v>
      </c>
    </row>
    <row r="10">
      <c r="B10" s="1" t="s">
        <v>44</v>
      </c>
      <c r="C10" s="2">
        <v>500.0</v>
      </c>
      <c r="D10" s="2">
        <v>5.0</v>
      </c>
      <c r="E10" s="3">
        <f t="shared" si="1"/>
        <v>0.5</v>
      </c>
      <c r="F10" s="2">
        <f t="shared" si="2"/>
        <v>150</v>
      </c>
      <c r="G10" s="3">
        <f t="shared" si="3"/>
        <v>75</v>
      </c>
      <c r="H10" s="3">
        <f>G10*H3</f>
        <v>4.125</v>
      </c>
    </row>
    <row r="11">
      <c r="B11" s="1" t="s">
        <v>45</v>
      </c>
      <c r="C11" s="2">
        <v>1100.0</v>
      </c>
      <c r="D11" s="2">
        <v>1.0</v>
      </c>
      <c r="E11" s="3">
        <f t="shared" si="1"/>
        <v>1.1</v>
      </c>
      <c r="F11" s="2">
        <f t="shared" si="2"/>
        <v>30</v>
      </c>
      <c r="G11" s="3">
        <f t="shared" si="3"/>
        <v>33</v>
      </c>
      <c r="H11" s="3">
        <f>G11*H3</f>
        <v>1.815</v>
      </c>
    </row>
    <row r="12">
      <c r="B12" s="1" t="s">
        <v>46</v>
      </c>
      <c r="C12" s="2">
        <v>250.0</v>
      </c>
      <c r="D12" s="2">
        <v>4.0</v>
      </c>
      <c r="E12" s="3">
        <f t="shared" si="1"/>
        <v>0.25</v>
      </c>
      <c r="F12" s="2">
        <f t="shared" si="2"/>
        <v>120</v>
      </c>
      <c r="G12" s="3">
        <f t="shared" si="3"/>
        <v>30</v>
      </c>
      <c r="H12" s="3">
        <f>G12*H3</f>
        <v>1.65</v>
      </c>
    </row>
    <row r="14">
      <c r="G14" s="1" t="s">
        <v>47</v>
      </c>
      <c r="H14" s="3">
        <f>SUM(H6:H12)</f>
        <v>21.8625</v>
      </c>
    </row>
    <row r="16">
      <c r="G16" s="1" t="s">
        <v>48</v>
      </c>
      <c r="H16" s="3">
        <f>H14*0.16</f>
        <v>3.498</v>
      </c>
    </row>
    <row r="18">
      <c r="G18" s="1" t="s">
        <v>49</v>
      </c>
      <c r="H18" s="3">
        <f>SUM(H14:H16)</f>
        <v>25.3605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38"/>
    <col customWidth="1" min="6" max="6" width="19.88"/>
    <col customWidth="1" min="7" max="7" width="20.75"/>
    <col customWidth="1" min="8" max="8" width="17.13"/>
  </cols>
  <sheetData>
    <row r="4" ht="42.75" customHeight="1"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</row>
    <row r="5">
      <c r="C5" s="1" t="s">
        <v>56</v>
      </c>
      <c r="D5" s="2">
        <v>65000.0</v>
      </c>
      <c r="E5" s="2">
        <v>50000.0</v>
      </c>
      <c r="F5" s="3">
        <f t="shared" ref="F5:F10" si="1">E5*100/D5</f>
        <v>76.92307692</v>
      </c>
      <c r="G5" s="3">
        <f t="shared" ref="G5:G10" si="2">D5-E5</f>
        <v>15000</v>
      </c>
      <c r="H5" s="3" t="str">
        <f t="shared" ref="H5:H10" si="3">IF(F5&gt;60,"SI","NO")</f>
        <v>SI</v>
      </c>
    </row>
    <row r="6">
      <c r="C6" s="1" t="s">
        <v>57</v>
      </c>
      <c r="D6" s="2">
        <v>57000.0</v>
      </c>
      <c r="E6" s="2">
        <v>45000.0</v>
      </c>
      <c r="F6" s="3">
        <f t="shared" si="1"/>
        <v>78.94736842</v>
      </c>
      <c r="G6" s="3">
        <f t="shared" si="2"/>
        <v>12000</v>
      </c>
      <c r="H6" s="3" t="str">
        <f t="shared" si="3"/>
        <v>SI</v>
      </c>
    </row>
    <row r="7">
      <c r="C7" s="1" t="s">
        <v>58</v>
      </c>
      <c r="D7" s="2">
        <v>45000.0</v>
      </c>
      <c r="E7" s="2">
        <v>32000.0</v>
      </c>
      <c r="F7" s="3">
        <f t="shared" si="1"/>
        <v>71.11111111</v>
      </c>
      <c r="G7" s="3">
        <f t="shared" si="2"/>
        <v>13000</v>
      </c>
      <c r="H7" s="3" t="str">
        <f t="shared" si="3"/>
        <v>SI</v>
      </c>
    </row>
    <row r="8">
      <c r="C8" s="1" t="s">
        <v>59</v>
      </c>
      <c r="D8" s="2">
        <v>30000.0</v>
      </c>
      <c r="E8" s="2">
        <v>700.0</v>
      </c>
      <c r="F8" s="3">
        <f t="shared" si="1"/>
        <v>2.333333333</v>
      </c>
      <c r="G8" s="3">
        <f t="shared" si="2"/>
        <v>29300</v>
      </c>
      <c r="H8" s="3" t="str">
        <f t="shared" si="3"/>
        <v>NO</v>
      </c>
    </row>
    <row r="9">
      <c r="C9" s="1" t="s">
        <v>60</v>
      </c>
      <c r="D9" s="2">
        <v>25000.0</v>
      </c>
      <c r="E9" s="2">
        <v>20000.0</v>
      </c>
      <c r="F9" s="3">
        <f t="shared" si="1"/>
        <v>80</v>
      </c>
      <c r="G9" s="3">
        <f t="shared" si="2"/>
        <v>5000</v>
      </c>
      <c r="H9" s="3" t="str">
        <f t="shared" si="3"/>
        <v>SI</v>
      </c>
    </row>
    <row r="10">
      <c r="C10" s="1" t="s">
        <v>61</v>
      </c>
      <c r="D10" s="2">
        <v>20000.0</v>
      </c>
      <c r="E10" s="2">
        <v>1000.0</v>
      </c>
      <c r="F10" s="3">
        <f t="shared" si="1"/>
        <v>5</v>
      </c>
      <c r="G10" s="3">
        <f t="shared" si="2"/>
        <v>19000</v>
      </c>
      <c r="H10" s="3" t="str">
        <f t="shared" si="3"/>
        <v>NO</v>
      </c>
    </row>
    <row r="12">
      <c r="G12" s="1" t="s">
        <v>62</v>
      </c>
      <c r="H12" s="3">
        <f>COUNTIF(H5:H10,"SI")</f>
        <v>4</v>
      </c>
    </row>
    <row r="13">
      <c r="G13" s="1" t="s">
        <v>63</v>
      </c>
      <c r="H13" s="3">
        <f>COUNTIF(H5:H10,"NO")</f>
        <v>2</v>
      </c>
    </row>
    <row r="15">
      <c r="G15" s="1" t="s">
        <v>64</v>
      </c>
      <c r="H15" s="3" t="str">
        <f>IF(H12&gt;3,"SI","NO")</f>
        <v>SI</v>
      </c>
    </row>
  </sheetData>
  <drawing r:id="rId1"/>
</worksheet>
</file>
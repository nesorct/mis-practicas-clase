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<sst xmlns="http://schemas.openxmlformats.org/spreadsheetml/2006/main" count="15" uniqueCount="15">
  <si>
    <t>Localidad</t>
  </si>
  <si>
    <t xml:space="preserve">N de plazas </t>
  </si>
  <si>
    <t xml:space="preserve">Promedio de ocupacion </t>
  </si>
  <si>
    <t>Porcentaje de ocupacion</t>
  </si>
  <si>
    <t xml:space="preserve">Diferencia </t>
  </si>
  <si>
    <t>¿Rentable?</t>
  </si>
  <si>
    <t>Madrid</t>
  </si>
  <si>
    <t>Barcelona</t>
  </si>
  <si>
    <t>Valencia</t>
  </si>
  <si>
    <t xml:space="preserve">Zaragoza </t>
  </si>
  <si>
    <t>Sevilla</t>
  </si>
  <si>
    <t>Bilbao</t>
  </si>
  <si>
    <t xml:space="preserve">N campos rentables </t>
  </si>
  <si>
    <t>N campos no rentables</t>
  </si>
  <si>
    <t>Es rentable en conjunto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</si>
</sst>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  <col customWidth="1" min="5" max="5" width="17.88"/>
    <col customWidth="1" min="6" max="6" width="20.13"/>
  </cols>
  <sheetData>
    <row r="5" ht="7.5" customHeight="1"/>
    <row r="6" ht="23.25" customHeight="1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</row>
    <row r="7">
      <c r="B7" s="2" t="s">
        <v>6</v>
      </c>
      <c r="C7" s="3">
        <v>65000.0</v>
      </c>
      <c r="D7" s="3">
        <v>40000.0</v>
      </c>
      <c r="E7" s="4">
        <f t="shared" ref="E7:E12" si="1">D7*100/C7</f>
        <v>61.53846154</v>
      </c>
      <c r="F7" s="4">
        <f t="shared" ref="F7:F12" si="2">C7-D7</f>
        <v>25000</v>
      </c>
      <c r="G7" s="4" t="str">
        <f t="shared" ref="G7:G12" si="3">IF(E7&gt;=60,"si","no")</f>
        <v>si</v>
      </c>
    </row>
    <row r="8">
      <c r="B8" s="2" t="s">
        <v>7</v>
      </c>
      <c r="C8" s="3">
        <v>57000.0</v>
      </c>
      <c r="D8" s="3">
        <v>25000.0</v>
      </c>
      <c r="E8" s="4">
        <f t="shared" si="1"/>
        <v>43.85964912</v>
      </c>
      <c r="F8" s="4">
        <f t="shared" si="2"/>
        <v>32000</v>
      </c>
      <c r="G8" s="4" t="str">
        <f t="shared" si="3"/>
        <v>no</v>
      </c>
    </row>
    <row r="9">
      <c r="B9" s="2" t="s">
        <v>8</v>
      </c>
      <c r="C9" s="3">
        <v>45000.0</v>
      </c>
      <c r="D9" s="3">
        <v>34000.0</v>
      </c>
      <c r="E9" s="4">
        <f t="shared" si="1"/>
        <v>75.55555556</v>
      </c>
      <c r="F9" s="4">
        <f t="shared" si="2"/>
        <v>11000</v>
      </c>
      <c r="G9" s="4" t="str">
        <f t="shared" si="3"/>
        <v>si</v>
      </c>
    </row>
    <row r="10">
      <c r="B10" s="2" t="s">
        <v>9</v>
      </c>
      <c r="C10" s="3">
        <v>30000.0</v>
      </c>
      <c r="D10" s="3">
        <v>10000.0</v>
      </c>
      <c r="E10" s="4">
        <f t="shared" si="1"/>
        <v>33.33333333</v>
      </c>
      <c r="F10" s="4">
        <f t="shared" si="2"/>
        <v>20000</v>
      </c>
      <c r="G10" s="4" t="str">
        <f t="shared" si="3"/>
        <v>no</v>
      </c>
    </row>
    <row r="11">
      <c r="B11" s="2" t="s">
        <v>10</v>
      </c>
      <c r="C11" s="3">
        <v>25000.0</v>
      </c>
      <c r="D11" s="3">
        <v>12000.0</v>
      </c>
      <c r="E11" s="4">
        <f t="shared" si="1"/>
        <v>48</v>
      </c>
      <c r="F11" s="4">
        <f t="shared" si="2"/>
        <v>13000</v>
      </c>
      <c r="G11" s="4" t="str">
        <f t="shared" si="3"/>
        <v>no</v>
      </c>
    </row>
    <row r="12">
      <c r="B12" s="2" t="s">
        <v>11</v>
      </c>
      <c r="C12" s="3">
        <v>20000.0</v>
      </c>
      <c r="D12" s="3">
        <v>12000.0</v>
      </c>
      <c r="E12" s="4">
        <f t="shared" si="1"/>
        <v>60</v>
      </c>
      <c r="F12" s="4">
        <f t="shared" si="2"/>
        <v>8000</v>
      </c>
      <c r="G12" s="4" t="str">
        <f t="shared" si="3"/>
        <v>si</v>
      </c>
    </row>
    <row r="14">
      <c r="F14" s="5" t="s">
        <v>12</v>
      </c>
      <c r="G14" s="4">
        <f>COUNTIF(G7:G12,"si")</f>
        <v>3</v>
      </c>
    </row>
    <row r="15">
      <c r="F15" s="5" t="s">
        <v>13</v>
      </c>
      <c r="G15" s="4">
        <f>COUNTIF(G7:G12,"no")</f>
        <v>3</v>
      </c>
    </row>
    <row r="17">
      <c r="F17" s="5" t="s">
        <v>14</v>
      </c>
      <c r="G17" s="4" t="str">
        <f>IF(G14&gt;=3,"si","no")</f>
        <v>si</v>
      </c>
    </row>
  </sheetData>
  <drawing r:id="rId1"/>
</worksheet>
</file>
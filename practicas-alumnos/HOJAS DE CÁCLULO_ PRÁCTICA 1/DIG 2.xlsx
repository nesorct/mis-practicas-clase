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 1" sheetId="1" r:id="rId5"/>
    <sheet state="visible" name="ACT 2" sheetId="2" r:id="rId6"/>
    <sheet state="visible" name="ACT 3" sheetId="3" r:id="rId7"/>
    <sheet state="visible" name="ACT 4" sheetId="4" r:id="rId8"/>
    <sheet state="visible" name="ACT 5" sheetId="5" r:id="rId9"/>
  </sheets>
  <definedNames/>
  <calcPr/>
</workbook>
</file>

<file path=xl/sharedStrings.xml><?xml version="1.0" encoding="utf-8"?>
<sst xmlns="http://schemas.openxmlformats.org/spreadsheetml/2006/main" count="69" uniqueCount="60">
  <si>
    <t>NUMERO</t>
  </si>
  <si>
    <t>TABLA</t>
  </si>
  <si>
    <t>OPERACION</t>
  </si>
  <si>
    <t>RESULTADO</t>
  </si>
  <si>
    <t>X</t>
  </si>
  <si>
    <t xml:space="preserve"> </t>
  </si>
  <si>
    <t>ENERO</t>
  </si>
  <si>
    <t>FEBRERO</t>
  </si>
  <si>
    <t>MARZO</t>
  </si>
  <si>
    <t>TOTAL TRIMESTRE:</t>
  </si>
  <si>
    <t>AUTOESCUELA</t>
  </si>
  <si>
    <t>PLAY</t>
  </si>
  <si>
    <t>FUTBOL</t>
  </si>
  <si>
    <t>SALIDAS</t>
  </si>
  <si>
    <t>AGUA</t>
  </si>
  <si>
    <t>TOTAL:</t>
  </si>
  <si>
    <t>ALUMNOS</t>
  </si>
  <si>
    <t>NOTAS 1</t>
  </si>
  <si>
    <t>NOTAS 2</t>
  </si>
  <si>
    <t>NOTAS 3</t>
  </si>
  <si>
    <t>NOTAS MEDIAS</t>
  </si>
  <si>
    <t>PABLO</t>
  </si>
  <si>
    <t>LUIS</t>
  </si>
  <si>
    <t>JUAN M</t>
  </si>
  <si>
    <t>EMILIO</t>
  </si>
  <si>
    <t xml:space="preserve">IZAN </t>
  </si>
  <si>
    <t>ANGEL</t>
  </si>
  <si>
    <t>0;055</t>
  </si>
  <si>
    <t>APÀRATO</t>
  </si>
  <si>
    <t>POTENCIA WATIOS</t>
  </si>
  <si>
    <t>HORA DE FUNCIONAMIENTO</t>
  </si>
  <si>
    <t>POTENCIA KW</t>
  </si>
  <si>
    <t>HORAS MENSUALES</t>
  </si>
  <si>
    <t>ENERGIA KWH</t>
  </si>
  <si>
    <t>COSTE</t>
  </si>
  <si>
    <t>Lavadora</t>
  </si>
  <si>
    <t>Televisor</t>
  </si>
  <si>
    <t>Frigorifico</t>
  </si>
  <si>
    <t>Lavavajillas</t>
  </si>
  <si>
    <t>Iluminacion</t>
  </si>
  <si>
    <t>Plancha</t>
  </si>
  <si>
    <t>Ordenador</t>
  </si>
  <si>
    <t xml:space="preserve">TOTAL: </t>
  </si>
  <si>
    <t>IVA  16%:</t>
  </si>
  <si>
    <t>TOTAL CON IVA:</t>
  </si>
  <si>
    <t>LOCALIAD</t>
  </si>
  <si>
    <t>N DE PLAZAS</t>
  </si>
  <si>
    <t>PROM DE OCUPACION</t>
  </si>
  <si>
    <t>PORCENTAJE DE OCUPACION</t>
  </si>
  <si>
    <t>DIFERENCIA</t>
  </si>
  <si>
    <t>¿ES RENTABLE?</t>
  </si>
  <si>
    <t>Madrid</t>
  </si>
  <si>
    <t>Barcelona</t>
  </si>
  <si>
    <t>Valencia</t>
  </si>
  <si>
    <t>Zaragoza</t>
  </si>
  <si>
    <t>Sevilla</t>
  </si>
  <si>
    <t>Bilbao</t>
  </si>
  <si>
    <t xml:space="preserve">N CAMPS RENTABLES: </t>
  </si>
  <si>
    <t>N CAMPOS NO RENTABLES:</t>
  </si>
  <si>
    <t>ES RENTABLE EN CONJUNTO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</si>
</sst>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1" fillId="4" fontId="1" numFmtId="0" xfId="0" applyAlignment="1" applyBorder="1" applyFill="1" applyFont="1">
      <alignment readingOrder="0"/>
    </xf>
    <xf borderId="0" fillId="0" fontId="1" numFmtId="0" xfId="0" applyAlignment="1" applyFont="1">
      <alignment readingOrder="0" shrinkToFit="0" wrapText="1"/>
    </xf>
    <xf borderId="1" fillId="5" fontId="1" numFmtId="0" xfId="0" applyAlignment="1" applyBorder="1" applyFill="1" applyFont="1">
      <alignment readingOrder="0" shrinkToFit="0" wrapText="1"/>
    </xf>
    <xf borderId="1" fillId="6" fontId="1" numFmtId="0" xfId="0" applyBorder="1" applyFill="1" applyFont="1"/>
    <xf borderId="1" fillId="5" fontId="1" numFmtId="0" xfId="0" applyAlignment="1" applyBorder="1" applyFont="1">
      <alignment readingOrder="0"/>
    </xf>
    <xf borderId="1" fillId="7" fontId="1" numFmtId="0" xfId="0" applyAlignment="1" applyBorder="1" applyFill="1" applyFont="1">
      <alignment readingOrder="0"/>
    </xf>
    <xf borderId="1" fillId="8" fontId="1" numFmtId="0" xfId="0" applyAlignment="1" applyBorder="1" applyFill="1" applyFont="1">
      <alignment readingOrder="0" shrinkToFit="0" wrapText="0"/>
    </xf>
    <xf borderId="1" fillId="8" fontId="1" numFmtId="0" xfId="0" applyAlignment="1" applyBorder="1" applyFont="1">
      <alignment readingOrder="0"/>
    </xf>
    <xf borderId="1" fillId="9" fontId="1" numFmtId="0" xfId="0" applyAlignment="1" applyBorder="1" applyFill="1" applyFont="1">
      <alignment readingOrder="0" shrinkToFit="0" wrapText="1"/>
    </xf>
    <xf borderId="1" fillId="9" fontId="1" numFmtId="0" xfId="0" applyBorder="1" applyFont="1"/>
    <xf borderId="1" fillId="8" fontId="1" numFmtId="0" xfId="0" applyAlignment="1" applyBorder="1" applyFont="1">
      <alignment readingOrder="0" shrinkToFit="0" wrapText="1"/>
    </xf>
    <xf borderId="1" fillId="10" fontId="1" numFmtId="0" xfId="0" applyAlignment="1" applyBorder="1" applyFill="1" applyFont="1">
      <alignment readingOrder="0"/>
    </xf>
    <xf borderId="1" fillId="10" fontId="1" numFmtId="0" xfId="0" applyAlignment="1" applyBorder="1" applyFont="1">
      <alignment readingOrder="0" shrinkToFit="0" wrapText="1"/>
    </xf>
    <xf borderId="0" fillId="11" fontId="1" numFmtId="0" xfId="0" applyAlignment="1" applyFill="1" applyFont="1">
      <alignment readingOrder="0"/>
    </xf>
    <xf borderId="0" fillId="0" fontId="1" numFmtId="0" xfId="0" applyFont="1"/>
    <xf borderId="0" fillId="11" fontId="1" numFmtId="0" xfId="0" applyAlignment="1" applyFont="1">
      <alignment readingOrder="0" shrinkToFit="0" wrapText="1"/>
    </xf>
    <xf borderId="1" fillId="12" fontId="1" numFmtId="0" xfId="0" applyAlignment="1" applyBorder="1" applyFill="1" applyFont="1">
      <alignment readingOrder="0"/>
    </xf>
    <xf borderId="1" fillId="13" fontId="1" numFmtId="0" xfId="0" applyAlignment="1" applyBorder="1" applyFill="1" applyFont="1">
      <alignment readingOrder="0"/>
    </xf>
    <xf borderId="1" fillId="14" fontId="1" numFmtId="0" xfId="0" applyAlignment="1" applyBorder="1" applyFill="1" applyFont="1">
      <alignment readingOrder="0" shrinkToFit="0" wrapText="1"/>
    </xf>
    <xf borderId="1" fillId="15" fontId="1" numFmtId="0" xfId="0" applyAlignment="1" applyBorder="1" applyFill="1" applyFont="1">
      <alignment readingOrder="0" shrinkToFit="0" wrapText="1"/>
    </xf>
    <xf borderId="1" fillId="16" fontId="1" numFmtId="0" xfId="0" applyAlignment="1" applyBorder="1" applyFill="1" applyFont="1">
      <alignment readingOrder="0"/>
    </xf>
    <xf borderId="1" fillId="17" fontId="1" numFmtId="0" xfId="0" applyAlignment="1" applyBorder="1" applyFill="1" applyFont="1">
      <alignment readingOrder="0" shrinkToFit="0" wrapText="1"/>
    </xf>
    <xf borderId="1" fillId="14" fontId="1" numFmtId="0" xfId="0" applyAlignment="1" applyBorder="1" applyFont="1">
      <alignment readingOrder="0"/>
    </xf>
    <xf borderId="1" fillId="15" fontId="1" numFmtId="0" xfId="0" applyBorder="1" applyFont="1"/>
    <xf borderId="1" fillId="16" fontId="1" numFmtId="0" xfId="0" applyBorder="1" applyFont="1"/>
    <xf borderId="1" fillId="17" fontId="1" numFmtId="0" xfId="0" applyBorder="1" applyFont="1"/>
    <xf borderId="0" fillId="18" fontId="1" numFmtId="0" xfId="0" applyAlignment="1" applyFill="1" applyFont="1">
      <alignment readingOrder="0" shrinkToFit="0" wrapText="1"/>
    </xf>
    <xf borderId="0" fillId="4" fontId="1" numFmtId="0" xfId="0" applyFon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5.0</v>
      </c>
      <c r="B2" s="3" t="s">
        <v>4</v>
      </c>
      <c r="C2" s="3">
        <v>1.0</v>
      </c>
      <c r="D2" s="4">
        <f t="shared" ref="D2:D11" si="1">A2*C2</f>
        <v>5</v>
      </c>
    </row>
    <row r="3">
      <c r="A3" s="3">
        <v>5.0</v>
      </c>
      <c r="B3" s="3" t="s">
        <v>4</v>
      </c>
      <c r="C3" s="4">
        <f t="shared" ref="C3:C11" si="2">C2+1</f>
        <v>2</v>
      </c>
      <c r="D3" s="4">
        <f t="shared" si="1"/>
        <v>10</v>
      </c>
    </row>
    <row r="4">
      <c r="A4" s="3">
        <v>5.0</v>
      </c>
      <c r="B4" s="3" t="s">
        <v>4</v>
      </c>
      <c r="C4" s="4">
        <f t="shared" si="2"/>
        <v>3</v>
      </c>
      <c r="D4" s="4">
        <f t="shared" si="1"/>
        <v>15</v>
      </c>
    </row>
    <row r="5">
      <c r="A5" s="3">
        <v>5.0</v>
      </c>
      <c r="B5" s="3" t="s">
        <v>4</v>
      </c>
      <c r="C5" s="4">
        <f t="shared" si="2"/>
        <v>4</v>
      </c>
      <c r="D5" s="4">
        <f t="shared" si="1"/>
        <v>20</v>
      </c>
    </row>
    <row r="6">
      <c r="A6" s="3">
        <v>5.0</v>
      </c>
      <c r="B6" s="3" t="s">
        <v>4</v>
      </c>
      <c r="C6" s="4">
        <f t="shared" si="2"/>
        <v>5</v>
      </c>
      <c r="D6" s="4">
        <f t="shared" si="1"/>
        <v>25</v>
      </c>
    </row>
    <row r="7">
      <c r="A7" s="3">
        <v>5.0</v>
      </c>
      <c r="B7" s="3" t="s">
        <v>4</v>
      </c>
      <c r="C7" s="4">
        <f t="shared" si="2"/>
        <v>6</v>
      </c>
      <c r="D7" s="4">
        <f t="shared" si="1"/>
        <v>30</v>
      </c>
    </row>
    <row r="8">
      <c r="A8" s="3">
        <v>5.0</v>
      </c>
      <c r="B8" s="3" t="s">
        <v>4</v>
      </c>
      <c r="C8" s="4">
        <f t="shared" si="2"/>
        <v>7</v>
      </c>
      <c r="D8" s="4">
        <f t="shared" si="1"/>
        <v>35</v>
      </c>
    </row>
    <row r="9">
      <c r="A9" s="3">
        <v>5.0</v>
      </c>
      <c r="B9" s="3" t="s">
        <v>4</v>
      </c>
      <c r="C9" s="4">
        <f t="shared" si="2"/>
        <v>8</v>
      </c>
      <c r="D9" s="4">
        <f t="shared" si="1"/>
        <v>40</v>
      </c>
      <c r="G9" s="5" t="s">
        <v>5</v>
      </c>
    </row>
    <row r="10">
      <c r="A10" s="3">
        <v>5.0</v>
      </c>
      <c r="B10" s="3" t="s">
        <v>4</v>
      </c>
      <c r="C10" s="4">
        <f t="shared" si="2"/>
        <v>9</v>
      </c>
      <c r="D10" s="4">
        <f t="shared" si="1"/>
        <v>45</v>
      </c>
    </row>
    <row r="11">
      <c r="A11" s="3">
        <v>5.0</v>
      </c>
      <c r="B11" s="3" t="s">
        <v>4</v>
      </c>
      <c r="C11" s="4">
        <f t="shared" si="2"/>
        <v>10</v>
      </c>
      <c r="D11" s="4">
        <f t="shared" si="1"/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2.25"/>
  </cols>
  <sheetData>
    <row r="1">
      <c r="C1" s="6" t="s">
        <v>6</v>
      </c>
      <c r="D1" s="6" t="s">
        <v>7</v>
      </c>
      <c r="E1" s="6" t="s">
        <v>8</v>
      </c>
      <c r="G1" s="7" t="s">
        <v>9</v>
      </c>
    </row>
    <row r="2">
      <c r="B2" s="8" t="s">
        <v>10</v>
      </c>
      <c r="C2" s="3">
        <v>50.0</v>
      </c>
      <c r="D2" s="3">
        <v>150.0</v>
      </c>
      <c r="E2" s="3">
        <v>200.0</v>
      </c>
      <c r="G2" s="9">
        <f t="shared" ref="G2:G6" si="1">SUM(C2:E2)</f>
        <v>400</v>
      </c>
    </row>
    <row r="3">
      <c r="B3" s="10" t="s">
        <v>11</v>
      </c>
      <c r="C3" s="3">
        <v>20.0</v>
      </c>
      <c r="D3" s="3">
        <v>10.0</v>
      </c>
      <c r="E3" s="3">
        <v>10.0</v>
      </c>
      <c r="G3" s="9">
        <f t="shared" si="1"/>
        <v>40</v>
      </c>
    </row>
    <row r="4">
      <c r="B4" s="10" t="s">
        <v>12</v>
      </c>
      <c r="C4" s="3">
        <v>115.0</v>
      </c>
      <c r="D4" s="3">
        <v>115.0</v>
      </c>
      <c r="E4" s="3">
        <v>95.0</v>
      </c>
      <c r="G4" s="9">
        <f t="shared" si="1"/>
        <v>325</v>
      </c>
    </row>
    <row r="5">
      <c r="B5" s="10" t="s">
        <v>13</v>
      </c>
      <c r="C5" s="3">
        <v>30.0</v>
      </c>
      <c r="D5" s="3">
        <v>30.0</v>
      </c>
      <c r="E5" s="3">
        <v>20.0</v>
      </c>
      <c r="G5" s="9">
        <f t="shared" si="1"/>
        <v>80</v>
      </c>
    </row>
    <row r="6">
      <c r="B6" s="10" t="s">
        <v>14</v>
      </c>
      <c r="C6" s="3">
        <v>35.0</v>
      </c>
      <c r="D6" s="3">
        <v>40.0</v>
      </c>
      <c r="E6" s="3">
        <v>35.0</v>
      </c>
      <c r="G6" s="9">
        <f t="shared" si="1"/>
        <v>110</v>
      </c>
    </row>
    <row r="8">
      <c r="B8" s="3" t="s">
        <v>15</v>
      </c>
      <c r="C8" s="9">
        <f t="shared" ref="C8:E8" si="2">SUM(C2:C6)</f>
        <v>250</v>
      </c>
      <c r="D8" s="9">
        <f t="shared" si="2"/>
        <v>345</v>
      </c>
      <c r="E8" s="9">
        <f t="shared" si="2"/>
        <v>360</v>
      </c>
      <c r="G8" s="9">
        <f>SUM(C8:E8)</f>
        <v>955</v>
      </c>
    </row>
  </sheetData>
  <conditionalFormatting sqref="G8">
    <cfRule type="cellIs" dxfId="0" priority="1" operator="greaterThan">
      <formula>1000</formula>
    </cfRule>
  </conditionalFormatting>
  <conditionalFormatting sqref="G8">
    <cfRule type="cellIs" dxfId="1" priority="2" operator="lessThan">
      <formula>1000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1" t="s">
        <v>16</v>
      </c>
      <c r="C1" s="12" t="s">
        <v>17</v>
      </c>
      <c r="D1" s="13" t="s">
        <v>18</v>
      </c>
      <c r="E1" s="13" t="s">
        <v>19</v>
      </c>
      <c r="F1" s="14" t="s">
        <v>20</v>
      </c>
    </row>
    <row r="2">
      <c r="B2" s="11" t="s">
        <v>21</v>
      </c>
      <c r="C2" s="13">
        <v>5.75</v>
      </c>
      <c r="D2" s="13">
        <v>7.0</v>
      </c>
      <c r="E2" s="13">
        <v>8.25</v>
      </c>
      <c r="F2" s="15">
        <f t="shared" ref="F2:F7" si="1">AVERAGE(C2:E2)</f>
        <v>7</v>
      </c>
    </row>
    <row r="3">
      <c r="B3" s="11" t="s">
        <v>22</v>
      </c>
      <c r="C3" s="13">
        <v>8.0</v>
      </c>
      <c r="D3" s="13">
        <v>5.0</v>
      </c>
      <c r="E3" s="13">
        <v>5.0</v>
      </c>
      <c r="F3" s="15">
        <f t="shared" si="1"/>
        <v>6</v>
      </c>
    </row>
    <row r="4">
      <c r="B4" s="11" t="s">
        <v>23</v>
      </c>
      <c r="C4" s="13">
        <v>7.0</v>
      </c>
      <c r="D4" s="13">
        <v>4.5</v>
      </c>
      <c r="E4" s="16">
        <v>2.25</v>
      </c>
      <c r="F4" s="15">
        <f t="shared" si="1"/>
        <v>4.583333333</v>
      </c>
    </row>
    <row r="5">
      <c r="B5" s="11" t="s">
        <v>24</v>
      </c>
      <c r="C5" s="13">
        <v>4.5</v>
      </c>
      <c r="D5" s="13">
        <v>4.0</v>
      </c>
      <c r="E5" s="13">
        <v>7.0</v>
      </c>
      <c r="F5" s="15">
        <f t="shared" si="1"/>
        <v>5.166666667</v>
      </c>
    </row>
    <row r="6">
      <c r="B6" s="11" t="s">
        <v>25</v>
      </c>
      <c r="C6" s="13">
        <v>7.5</v>
      </c>
      <c r="D6" s="13">
        <v>3.2</v>
      </c>
      <c r="E6" s="13">
        <v>5.59</v>
      </c>
      <c r="F6" s="15">
        <f t="shared" si="1"/>
        <v>5.43</v>
      </c>
    </row>
    <row r="7">
      <c r="B7" s="11" t="s">
        <v>26</v>
      </c>
      <c r="C7" s="13">
        <v>5.5</v>
      </c>
      <c r="D7" s="13">
        <v>6.5</v>
      </c>
      <c r="E7" s="13">
        <v>3.1</v>
      </c>
      <c r="F7" s="15">
        <f t="shared" si="1"/>
        <v>5.033333333</v>
      </c>
    </row>
  </sheetData>
  <conditionalFormatting sqref="F2:F7">
    <cfRule type="cellIs" dxfId="1" priority="1" operator="greaterThan">
      <formula>5</formula>
    </cfRule>
  </conditionalFormatting>
  <conditionalFormatting sqref="F2:F7">
    <cfRule type="cellIs" dxfId="0" priority="2" operator="lessThan">
      <formula>5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L3" s="5" t="s">
        <v>27</v>
      </c>
    </row>
    <row r="4">
      <c r="F4" s="17" t="s">
        <v>28</v>
      </c>
      <c r="G4" s="18" t="s">
        <v>29</v>
      </c>
      <c r="H4" s="18" t="s">
        <v>30</v>
      </c>
      <c r="I4" s="17" t="s">
        <v>31</v>
      </c>
      <c r="J4" s="18" t="s">
        <v>32</v>
      </c>
      <c r="K4" s="17" t="s">
        <v>33</v>
      </c>
      <c r="L4" s="17" t="s">
        <v>34</v>
      </c>
    </row>
    <row r="5">
      <c r="F5" s="3" t="s">
        <v>35</v>
      </c>
      <c r="G5" s="3">
        <v>2000.0</v>
      </c>
      <c r="H5" s="3">
        <v>2.0</v>
      </c>
      <c r="I5" s="4">
        <f t="shared" ref="I5:I11" si="1">G5/1000</f>
        <v>2</v>
      </c>
      <c r="J5" s="4">
        <f t="shared" ref="J5:J11" si="2">H5*30</f>
        <v>60</v>
      </c>
      <c r="K5" s="4">
        <f t="shared" ref="K5:K11" si="3">I5*J5</f>
        <v>120</v>
      </c>
      <c r="L5" s="4">
        <f t="shared" ref="L5:L11" si="4">K5*0.055</f>
        <v>6.6</v>
      </c>
    </row>
    <row r="6">
      <c r="F6" s="3" t="s">
        <v>36</v>
      </c>
      <c r="G6" s="3">
        <v>150.0</v>
      </c>
      <c r="H6" s="3">
        <v>3.0</v>
      </c>
      <c r="I6" s="4">
        <f t="shared" si="1"/>
        <v>0.15</v>
      </c>
      <c r="J6" s="4">
        <f t="shared" si="2"/>
        <v>90</v>
      </c>
      <c r="K6" s="4">
        <f t="shared" si="3"/>
        <v>13.5</v>
      </c>
      <c r="L6" s="4">
        <f t="shared" si="4"/>
        <v>0.7425</v>
      </c>
    </row>
    <row r="7">
      <c r="F7" s="3" t="s">
        <v>37</v>
      </c>
      <c r="G7" s="3">
        <v>300.0</v>
      </c>
      <c r="H7" s="3">
        <v>24.0</v>
      </c>
      <c r="I7" s="4">
        <f t="shared" si="1"/>
        <v>0.3</v>
      </c>
      <c r="J7" s="4">
        <f t="shared" si="2"/>
        <v>720</v>
      </c>
      <c r="K7" s="4">
        <f t="shared" si="3"/>
        <v>216</v>
      </c>
      <c r="L7" s="4">
        <f t="shared" si="4"/>
        <v>11.88</v>
      </c>
    </row>
    <row r="8">
      <c r="F8" s="3" t="s">
        <v>38</v>
      </c>
      <c r="G8" s="3">
        <v>1800.0</v>
      </c>
      <c r="H8" s="3">
        <v>3.0</v>
      </c>
      <c r="I8" s="4">
        <f t="shared" si="1"/>
        <v>1.8</v>
      </c>
      <c r="J8" s="4">
        <f t="shared" si="2"/>
        <v>90</v>
      </c>
      <c r="K8" s="4">
        <f t="shared" si="3"/>
        <v>162</v>
      </c>
      <c r="L8" s="4">
        <f t="shared" si="4"/>
        <v>8.91</v>
      </c>
    </row>
    <row r="9">
      <c r="F9" s="3" t="s">
        <v>39</v>
      </c>
      <c r="G9" s="5">
        <v>500.0</v>
      </c>
      <c r="H9" s="3">
        <v>6.0</v>
      </c>
      <c r="I9" s="4">
        <f t="shared" si="1"/>
        <v>0.5</v>
      </c>
      <c r="J9" s="4">
        <f t="shared" si="2"/>
        <v>180</v>
      </c>
      <c r="K9" s="4">
        <f t="shared" si="3"/>
        <v>90</v>
      </c>
      <c r="L9" s="4">
        <f t="shared" si="4"/>
        <v>4.95</v>
      </c>
    </row>
    <row r="10">
      <c r="F10" s="3" t="s">
        <v>40</v>
      </c>
      <c r="G10" s="3">
        <v>1100.0</v>
      </c>
      <c r="H10" s="3">
        <v>1.0</v>
      </c>
      <c r="I10" s="4">
        <f t="shared" si="1"/>
        <v>1.1</v>
      </c>
      <c r="J10" s="4">
        <f t="shared" si="2"/>
        <v>30</v>
      </c>
      <c r="K10" s="4">
        <f t="shared" si="3"/>
        <v>33</v>
      </c>
      <c r="L10" s="4">
        <f t="shared" si="4"/>
        <v>1.815</v>
      </c>
    </row>
    <row r="11">
      <c r="F11" s="3" t="s">
        <v>41</v>
      </c>
      <c r="G11" s="3">
        <v>250.0</v>
      </c>
      <c r="H11" s="3">
        <v>7.0</v>
      </c>
      <c r="I11" s="4">
        <f t="shared" si="1"/>
        <v>0.25</v>
      </c>
      <c r="J11" s="4">
        <f t="shared" si="2"/>
        <v>210</v>
      </c>
      <c r="K11" s="4">
        <f t="shared" si="3"/>
        <v>52.5</v>
      </c>
      <c r="L11" s="4">
        <f t="shared" si="4"/>
        <v>2.8875</v>
      </c>
    </row>
    <row r="12">
      <c r="F12" s="4"/>
      <c r="G12" s="4"/>
      <c r="H12" s="4"/>
      <c r="I12" s="4"/>
      <c r="J12" s="4"/>
      <c r="K12" s="4"/>
      <c r="L12" s="4"/>
    </row>
    <row r="13">
      <c r="F13" s="4"/>
      <c r="G13" s="4"/>
      <c r="H13" s="4"/>
      <c r="I13" s="4"/>
      <c r="J13" s="4"/>
      <c r="K13" s="4"/>
      <c r="L13" s="4"/>
    </row>
    <row r="15">
      <c r="K15" s="19" t="s">
        <v>42</v>
      </c>
      <c r="L15" s="20">
        <f>SUM(L5:L11)</f>
        <v>37.785</v>
      </c>
    </row>
    <row r="16">
      <c r="K16" s="19" t="s">
        <v>43</v>
      </c>
      <c r="L16" s="20">
        <f>L15*16%</f>
        <v>6.0456</v>
      </c>
    </row>
    <row r="17">
      <c r="K17" s="21" t="s">
        <v>44</v>
      </c>
      <c r="L17" s="20">
        <f>L15+L16</f>
        <v>43.8306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22" t="s">
        <v>45</v>
      </c>
      <c r="C6" s="23" t="s">
        <v>46</v>
      </c>
      <c r="D6" s="24" t="s">
        <v>47</v>
      </c>
      <c r="E6" s="25" t="s">
        <v>48</v>
      </c>
      <c r="F6" s="26" t="s">
        <v>49</v>
      </c>
      <c r="G6" s="27" t="s">
        <v>50</v>
      </c>
    </row>
    <row r="7">
      <c r="B7" s="22" t="s">
        <v>51</v>
      </c>
      <c r="C7" s="23">
        <v>65000.0</v>
      </c>
      <c r="D7" s="28">
        <v>40000.0</v>
      </c>
      <c r="E7" s="29">
        <f t="shared" ref="E7:E12" si="1">D7*100/C7</f>
        <v>61.53846154</v>
      </c>
      <c r="F7" s="30">
        <f t="shared" ref="F7:F12" si="2">C7-D7</f>
        <v>25000</v>
      </c>
      <c r="G7" s="31" t="str">
        <f t="shared" ref="G7:G12" si="3">IF(E7&gt;=60,"SI","NO")</f>
        <v>SI</v>
      </c>
    </row>
    <row r="8">
      <c r="B8" s="22" t="s">
        <v>52</v>
      </c>
      <c r="C8" s="23">
        <v>57000.0</v>
      </c>
      <c r="D8" s="28">
        <v>25000.0</v>
      </c>
      <c r="E8" s="29">
        <f t="shared" si="1"/>
        <v>43.85964912</v>
      </c>
      <c r="F8" s="30">
        <f t="shared" si="2"/>
        <v>32000</v>
      </c>
      <c r="G8" s="31" t="str">
        <f t="shared" si="3"/>
        <v>NO</v>
      </c>
    </row>
    <row r="9">
      <c r="B9" s="22" t="s">
        <v>53</v>
      </c>
      <c r="C9" s="23">
        <v>45000.0</v>
      </c>
      <c r="D9" s="28">
        <v>34000.0</v>
      </c>
      <c r="E9" s="29">
        <f t="shared" si="1"/>
        <v>75.55555556</v>
      </c>
      <c r="F9" s="30">
        <f t="shared" si="2"/>
        <v>11000</v>
      </c>
      <c r="G9" s="31" t="str">
        <f t="shared" si="3"/>
        <v>SI</v>
      </c>
    </row>
    <row r="10">
      <c r="B10" s="22" t="s">
        <v>54</v>
      </c>
      <c r="C10" s="23">
        <v>30000.0</v>
      </c>
      <c r="D10" s="28">
        <v>10000.0</v>
      </c>
      <c r="E10" s="29">
        <f t="shared" si="1"/>
        <v>33.33333333</v>
      </c>
      <c r="F10" s="30">
        <f t="shared" si="2"/>
        <v>20000</v>
      </c>
      <c r="G10" s="31" t="str">
        <f t="shared" si="3"/>
        <v>NO</v>
      </c>
    </row>
    <row r="11">
      <c r="B11" s="22" t="s">
        <v>55</v>
      </c>
      <c r="C11" s="23">
        <v>25000.0</v>
      </c>
      <c r="D11" s="28">
        <v>12000.0</v>
      </c>
      <c r="E11" s="29">
        <f t="shared" si="1"/>
        <v>48</v>
      </c>
      <c r="F11" s="30">
        <f t="shared" si="2"/>
        <v>13000</v>
      </c>
      <c r="G11" s="31" t="str">
        <f t="shared" si="3"/>
        <v>NO</v>
      </c>
    </row>
    <row r="12">
      <c r="B12" s="22" t="s">
        <v>56</v>
      </c>
      <c r="C12" s="23">
        <v>20000.0</v>
      </c>
      <c r="D12" s="28">
        <v>12000.0</v>
      </c>
      <c r="E12" s="29">
        <f t="shared" si="1"/>
        <v>60</v>
      </c>
      <c r="F12" s="30">
        <f t="shared" si="2"/>
        <v>8000</v>
      </c>
      <c r="G12" s="31" t="str">
        <f t="shared" si="3"/>
        <v>SI</v>
      </c>
    </row>
    <row r="14">
      <c r="F14" s="32" t="s">
        <v>57</v>
      </c>
      <c r="G14" s="33">
        <f>COUNTIF(G7:G12,"si")</f>
        <v>3</v>
      </c>
    </row>
    <row r="15">
      <c r="F15" s="32" t="s">
        <v>58</v>
      </c>
      <c r="G15" s="33">
        <f>COUNTIF(G8:G13,"NO")</f>
        <v>3</v>
      </c>
    </row>
    <row r="18">
      <c r="F18" s="32" t="s">
        <v>59</v>
      </c>
      <c r="G18" s="33" t="str">
        <f>IF(G14&gt;=3,"SI","NO")</f>
        <v>SI</v>
      </c>
    </row>
  </sheetData>
  <drawing r:id="rId1"/>
</worksheet>
</file>
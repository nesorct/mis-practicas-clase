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  <sheet state="visible" name="Hoja 3" sheetId="3" r:id="rId7"/>
    <sheet state="visible" name="Hoja 4" sheetId="4" r:id="rId8"/>
    <sheet state="visible" name="Hoja 5" sheetId="5" r:id="rId9"/>
  </sheets>
  <definedNames/>
  <calcPr/>
</workbook>
</file>

<file path=xl/sharedStrings.xml><?xml version="1.0" encoding="utf-8"?>
<sst xmlns="http://schemas.openxmlformats.org/spreadsheetml/2006/main" count="76" uniqueCount="67">
  <si>
    <t xml:space="preserve">                    CALCULO DE LA FACTURA DE LA COMPAÑIA ELECTRICA</t>
  </si>
  <si>
    <t>KWh.=</t>
  </si>
  <si>
    <t>Aparato</t>
  </si>
  <si>
    <t>Potecion</t>
  </si>
  <si>
    <t>Horas de funcionamiento diarias</t>
  </si>
  <si>
    <t>Potencia</t>
  </si>
  <si>
    <t>Horas mensuales</t>
  </si>
  <si>
    <t>Energia</t>
  </si>
  <si>
    <t>Coste</t>
  </si>
  <si>
    <t>Watios</t>
  </si>
  <si>
    <t>KW</t>
  </si>
  <si>
    <t>KWh</t>
  </si>
  <si>
    <t>€</t>
  </si>
  <si>
    <t>Lavadora</t>
  </si>
  <si>
    <t>televesor</t>
  </si>
  <si>
    <t>frigorifico</t>
  </si>
  <si>
    <t>lavavajillas</t>
  </si>
  <si>
    <t>iluminacion</t>
  </si>
  <si>
    <t>plancha</t>
  </si>
  <si>
    <t>ordenador</t>
  </si>
  <si>
    <t>TOTAL:</t>
  </si>
  <si>
    <t>IVA 16 % :</t>
  </si>
  <si>
    <t>TOTAL CON IVA</t>
  </si>
  <si>
    <t>COMPAÑIA ESPAÑOLA DE CAMPOS DE FUTBOL</t>
  </si>
  <si>
    <t>Estudio de rentabilidad año 2014</t>
  </si>
  <si>
    <t>Localidad</t>
  </si>
  <si>
    <t>numero de plazas</t>
  </si>
  <si>
    <t>promedio de ocupacion</t>
  </si>
  <si>
    <t>porcentaje de ocupacion</t>
  </si>
  <si>
    <t>diferencia</t>
  </si>
  <si>
    <t>¿Es rentable? SI O NO</t>
  </si>
  <si>
    <t>MADRID</t>
  </si>
  <si>
    <t>BARCELONA</t>
  </si>
  <si>
    <t>VALENCIA</t>
  </si>
  <si>
    <t>ZARAGOSA</t>
  </si>
  <si>
    <t>SEVILLA</t>
  </si>
  <si>
    <t>BILBAO</t>
  </si>
  <si>
    <t>Nº DE CAMPOS RENTABLES</t>
  </si>
  <si>
    <t>Nº DE CAMPOS NO RENTABLES</t>
  </si>
  <si>
    <t>¿ES RENTABLE EN CONJUNTO?</t>
  </si>
  <si>
    <t>NO</t>
  </si>
  <si>
    <t>NÚMERO</t>
  </si>
  <si>
    <t>OPERACION</t>
  </si>
  <si>
    <t>TABLA</t>
  </si>
  <si>
    <t xml:space="preserve">RESULTADO </t>
  </si>
  <si>
    <t>X</t>
  </si>
  <si>
    <t>ENERO</t>
  </si>
  <si>
    <t>FEBRERO</t>
  </si>
  <si>
    <t>MARZO</t>
  </si>
  <si>
    <t>TOTAL TRIMESTRE</t>
  </si>
  <si>
    <t>ROPA</t>
  </si>
  <si>
    <t>MAQUILLAJE</t>
  </si>
  <si>
    <t>COMIDA</t>
  </si>
  <si>
    <t>WIFI</t>
  </si>
  <si>
    <t>TOTAL</t>
  </si>
  <si>
    <t>NOMBRE</t>
  </si>
  <si>
    <t>NOTA 1</t>
  </si>
  <si>
    <t>NOTA 2</t>
  </si>
  <si>
    <t>NOTA 3</t>
  </si>
  <si>
    <t>NOTA MEDIA</t>
  </si>
  <si>
    <t>IBTISAM</t>
  </si>
  <si>
    <t>ASMAA</t>
  </si>
  <si>
    <t>ISABELA</t>
  </si>
  <si>
    <t>MERYAM</t>
  </si>
  <si>
    <t>HAJAR</t>
  </si>
  <si>
    <t>EMILIO</t>
  </si>
  <si>
    <t xml:space="preserve"> MARIANO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</si>
</sst>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6.0"/>
      <color theme="1"/>
      <name val="Oswald"/>
    </font>
    <font/>
    <font>
      <color theme="1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b/>
      <sz val="15.0"/>
      <color theme="1"/>
      <name val="Arial"/>
      <scheme val="minor"/>
    </font>
    <font>
      <color theme="1"/>
      <name val="Arial"/>
    </font>
    <font>
      <color theme="1"/>
      <name val="Roboto"/>
    </font>
    <font>
      <color rgb="FF434343"/>
      <name val="Roboto"/>
    </font>
  </fonts>
  <fills count="14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9FC5E8"/>
        <bgColor rgb="FF9FC5E8"/>
      </patternFill>
    </fill>
    <fill>
      <patternFill patternType="solid">
        <fgColor rgb="FFFF00FF"/>
        <bgColor rgb="FFFF00FF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A64D79"/>
        <bgColor rgb="FFA64D79"/>
      </patternFill>
    </fill>
    <fill>
      <patternFill patternType="solid">
        <fgColor rgb="FF93C47D"/>
        <bgColor rgb="FF93C47D"/>
      </patternFill>
    </fill>
    <fill>
      <patternFill patternType="solid">
        <fgColor rgb="FFF6F8F9"/>
        <bgColor rgb="FFF6F8F9"/>
      </patternFill>
    </fill>
    <fill>
      <patternFill patternType="solid">
        <fgColor rgb="FFE06666"/>
        <bgColor rgb="FFE06666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3" numFmtId="0" xfId="0" applyBorder="1" applyFont="1"/>
    <xf borderId="8" fillId="0" fontId="2" numFmtId="0" xfId="0" applyBorder="1" applyFont="1"/>
    <xf borderId="9" fillId="0" fontId="3" numFmtId="0" xfId="0" applyAlignment="1" applyBorder="1" applyFont="1">
      <alignment readingOrder="0"/>
    </xf>
    <xf borderId="10" fillId="2" fontId="4" numFmtId="0" xfId="0" applyAlignment="1" applyBorder="1" applyFont="1">
      <alignment readingOrder="0"/>
    </xf>
    <xf borderId="9" fillId="2" fontId="4" numFmtId="0" xfId="0" applyAlignment="1" applyBorder="1" applyFont="1">
      <alignment readingOrder="0"/>
    </xf>
    <xf borderId="10" fillId="2" fontId="4" numFmtId="0" xfId="0" applyAlignment="1" applyBorder="1" applyFont="1">
      <alignment horizontal="center" readingOrder="0" shrinkToFit="0" vertical="center" wrapText="1"/>
    </xf>
    <xf borderId="10" fillId="2" fontId="4" numFmtId="0" xfId="0" applyAlignment="1" applyBorder="1" applyFont="1">
      <alignment readingOrder="0" shrinkToFit="0" wrapText="1"/>
    </xf>
    <xf borderId="11" fillId="0" fontId="2" numFmtId="0" xfId="0" applyBorder="1" applyFont="1"/>
    <xf borderId="9" fillId="2" fontId="5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9" fillId="3" fontId="3" numFmtId="0" xfId="0" applyBorder="1" applyFill="1" applyFont="1"/>
    <xf borderId="7" fillId="2" fontId="4" numFmtId="0" xfId="0" applyAlignment="1" applyBorder="1" applyFont="1">
      <alignment readingOrder="0"/>
    </xf>
    <xf borderId="12" fillId="2" fontId="3" numFmtId="0" xfId="0" applyAlignment="1" applyBorder="1" applyFont="1">
      <alignment readingOrder="0"/>
    </xf>
    <xf borderId="0" fillId="4" fontId="3" numFmtId="0" xfId="0" applyFill="1" applyFont="1"/>
    <xf borderId="0" fillId="5" fontId="6" numFmtId="0" xfId="0" applyAlignment="1" applyFill="1" applyFont="1">
      <alignment readingOrder="0"/>
    </xf>
    <xf borderId="0" fillId="6" fontId="3" numFmtId="0" xfId="0" applyAlignment="1" applyFill="1" applyFont="1">
      <alignment readingOrder="0"/>
    </xf>
    <xf borderId="9" fillId="7" fontId="3" numFmtId="0" xfId="0" applyAlignment="1" applyBorder="1" applyFill="1" applyFont="1">
      <alignment readingOrder="0"/>
    </xf>
    <xf borderId="9" fillId="7" fontId="3" numFmtId="0" xfId="0" applyAlignment="1" applyBorder="1" applyFont="1">
      <alignment readingOrder="0" shrinkToFit="0" wrapText="1"/>
    </xf>
    <xf borderId="9" fillId="8" fontId="3" numFmtId="0" xfId="0" applyAlignment="1" applyBorder="1" applyFill="1" applyFont="1">
      <alignment readingOrder="0"/>
    </xf>
    <xf borderId="9" fillId="9" fontId="3" numFmtId="0" xfId="0" applyAlignment="1" applyBorder="1" applyFill="1" applyFont="1">
      <alignment readingOrder="0"/>
    </xf>
    <xf borderId="9" fillId="4" fontId="3" numFmtId="0" xfId="0" applyAlignment="1" applyBorder="1" applyFont="1">
      <alignment readingOrder="0"/>
    </xf>
    <xf borderId="9" fillId="8" fontId="3" numFmtId="0" xfId="0" applyBorder="1" applyFont="1"/>
    <xf borderId="9" fillId="6" fontId="7" numFmtId="0" xfId="0" applyAlignment="1" applyBorder="1" applyFont="1">
      <alignment vertical="bottom"/>
    </xf>
    <xf borderId="9" fillId="0" fontId="7" numFmtId="0" xfId="0" applyAlignment="1" applyBorder="1" applyFont="1">
      <alignment horizontal="right" vertical="bottom"/>
    </xf>
    <xf borderId="9" fillId="0" fontId="7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9" fillId="10" fontId="7" numFmtId="0" xfId="0" applyAlignment="1" applyBorder="1" applyFill="1" applyFont="1">
      <alignment vertical="bottom"/>
    </xf>
    <xf borderId="9" fillId="0" fontId="7" numFmtId="0" xfId="0" applyBorder="1" applyFont="1"/>
    <xf borderId="9" fillId="0" fontId="3" numFmtId="0" xfId="0" applyBorder="1" applyFont="1"/>
    <xf borderId="9" fillId="8" fontId="7" numFmtId="0" xfId="0" applyAlignment="1" applyBorder="1" applyFont="1">
      <alignment vertical="bottom"/>
    </xf>
    <xf borderId="9" fillId="7" fontId="7" numFmtId="0" xfId="0" applyAlignment="1" applyBorder="1" applyFont="1">
      <alignment horizontal="right" vertical="bottom"/>
    </xf>
    <xf borderId="0" fillId="0" fontId="8" numFmtId="0" xfId="0" applyAlignment="1" applyFont="1">
      <alignment horizontal="left" readingOrder="0" shrinkToFit="0" vertical="center" wrapText="0"/>
    </xf>
    <xf borderId="9" fillId="4" fontId="9" numFmtId="0" xfId="0" applyAlignment="1" applyBorder="1" applyFont="1">
      <alignment shrinkToFit="0" vertical="center" wrapText="0"/>
    </xf>
    <xf borderId="9" fillId="11" fontId="9" numFmtId="0" xfId="0" applyAlignment="1" applyBorder="1" applyFill="1" applyFont="1">
      <alignment horizontal="right" shrinkToFit="0" vertical="center" wrapText="0"/>
    </xf>
    <xf borderId="9" fillId="12" fontId="9" numFmtId="0" xfId="0" applyAlignment="1" applyBorder="1" applyFill="1" applyFont="1">
      <alignment shrinkToFit="0" vertical="center" wrapText="0"/>
    </xf>
    <xf borderId="9" fillId="13" fontId="9" numFmtId="0" xfId="0" applyAlignment="1" applyBorder="1" applyFill="1" applyFont="1">
      <alignment horizontal="right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</dxfs>
  <tableStyles count="1">
    <tableStyle count="4" pivot="0" name="Hoja 5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C4:G11" displayName="Tabla_1" name="Tabla_1" id="1">
  <tableColumns count="5">
    <tableColumn name="NOMBRE" id="1"/>
    <tableColumn name="NOTA 1" id="2"/>
    <tableColumn name="NOTA 2" id="3"/>
    <tableColumn name="NOTA 3" id="4"/>
    <tableColumn name="NOTA MEDIA" id="5"/>
  </tableColumns>
  <tableStyleInfo name="Hoja 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0"/>
    <col customWidth="1" min="8" max="8" width="15.25"/>
  </cols>
  <sheetData>
    <row r="2" ht="27.75" customHeight="1">
      <c r="B2" s="1" t="s">
        <v>0</v>
      </c>
      <c r="C2" s="2"/>
      <c r="D2" s="2"/>
      <c r="E2" s="2"/>
      <c r="F2" s="2"/>
      <c r="G2" s="2"/>
      <c r="H2" s="3"/>
    </row>
    <row r="3">
      <c r="B3" s="4"/>
      <c r="C3" s="5"/>
      <c r="D3" s="5"/>
      <c r="E3" s="5"/>
      <c r="F3" s="5"/>
      <c r="G3" s="5"/>
      <c r="H3" s="6"/>
    </row>
    <row r="4">
      <c r="B4" s="7"/>
      <c r="C4" s="8"/>
      <c r="D4" s="8"/>
      <c r="E4" s="8"/>
      <c r="F4" s="8"/>
      <c r="G4" s="9" t="s">
        <v>1</v>
      </c>
      <c r="H4" s="9">
        <v>0.055</v>
      </c>
    </row>
    <row r="5" ht="16.5" customHeight="1">
      <c r="B5" s="10" t="s">
        <v>2</v>
      </c>
      <c r="C5" s="11" t="s">
        <v>3</v>
      </c>
      <c r="D5" s="12" t="s">
        <v>4</v>
      </c>
      <c r="E5" s="11" t="s">
        <v>5</v>
      </c>
      <c r="F5" s="13" t="s">
        <v>6</v>
      </c>
      <c r="G5" s="11" t="s">
        <v>7</v>
      </c>
      <c r="H5" s="11" t="s">
        <v>8</v>
      </c>
    </row>
    <row r="6">
      <c r="B6" s="14"/>
      <c r="C6" s="15" t="s">
        <v>9</v>
      </c>
      <c r="D6" s="14"/>
      <c r="E6" s="11" t="s">
        <v>10</v>
      </c>
      <c r="F6" s="14"/>
      <c r="G6" s="11" t="s">
        <v>11</v>
      </c>
      <c r="H6" s="11" t="s">
        <v>12</v>
      </c>
    </row>
    <row r="7">
      <c r="A7" s="16"/>
      <c r="B7" s="9" t="s">
        <v>13</v>
      </c>
      <c r="C7" s="9">
        <v>2000.0</v>
      </c>
      <c r="D7" s="9">
        <v>2.0</v>
      </c>
      <c r="E7" s="17">
        <f t="shared" ref="E7:E13" si="1">(C7*D7)/100</f>
        <v>40</v>
      </c>
      <c r="F7" s="17">
        <f t="shared" ref="F7:F13" si="2">D7*30</f>
        <v>60</v>
      </c>
      <c r="G7" s="17">
        <f t="shared" ref="G7:G13" si="3">E7*F7</f>
        <v>2400</v>
      </c>
      <c r="H7" s="17">
        <f t="shared" ref="H7:H13" si="4">G7*0.055</f>
        <v>132</v>
      </c>
    </row>
    <row r="8">
      <c r="A8" s="16"/>
      <c r="B8" s="9" t="s">
        <v>14</v>
      </c>
      <c r="C8" s="9">
        <v>150.0</v>
      </c>
      <c r="D8" s="9">
        <v>5.0</v>
      </c>
      <c r="E8" s="17">
        <f t="shared" si="1"/>
        <v>7.5</v>
      </c>
      <c r="F8" s="17">
        <f t="shared" si="2"/>
        <v>150</v>
      </c>
      <c r="G8" s="17">
        <f t="shared" si="3"/>
        <v>1125</v>
      </c>
      <c r="H8" s="17">
        <f t="shared" si="4"/>
        <v>61.875</v>
      </c>
    </row>
    <row r="9">
      <c r="B9" s="9" t="s">
        <v>15</v>
      </c>
      <c r="C9" s="9">
        <v>300.0</v>
      </c>
      <c r="D9" s="9">
        <v>4.0</v>
      </c>
      <c r="E9" s="17">
        <f t="shared" si="1"/>
        <v>12</v>
      </c>
      <c r="F9" s="17">
        <f t="shared" si="2"/>
        <v>120</v>
      </c>
      <c r="G9" s="17">
        <f t="shared" si="3"/>
        <v>1440</v>
      </c>
      <c r="H9" s="17">
        <f t="shared" si="4"/>
        <v>79.2</v>
      </c>
    </row>
    <row r="10">
      <c r="B10" s="9" t="s">
        <v>16</v>
      </c>
      <c r="C10" s="9">
        <v>1800.0</v>
      </c>
      <c r="D10" s="9">
        <v>1.5</v>
      </c>
      <c r="E10" s="17">
        <f t="shared" si="1"/>
        <v>27</v>
      </c>
      <c r="F10" s="17">
        <f t="shared" si="2"/>
        <v>45</v>
      </c>
      <c r="G10" s="17">
        <f t="shared" si="3"/>
        <v>1215</v>
      </c>
      <c r="H10" s="17">
        <f t="shared" si="4"/>
        <v>66.825</v>
      </c>
    </row>
    <row r="11">
      <c r="B11" s="9" t="s">
        <v>17</v>
      </c>
      <c r="C11" s="9">
        <v>500.0</v>
      </c>
      <c r="D11" s="9">
        <v>5.0</v>
      </c>
      <c r="E11" s="17">
        <f t="shared" si="1"/>
        <v>25</v>
      </c>
      <c r="F11" s="17">
        <f t="shared" si="2"/>
        <v>150</v>
      </c>
      <c r="G11" s="17">
        <f t="shared" si="3"/>
        <v>3750</v>
      </c>
      <c r="H11" s="17">
        <f t="shared" si="4"/>
        <v>206.25</v>
      </c>
    </row>
    <row r="12">
      <c r="B12" s="9" t="s">
        <v>18</v>
      </c>
      <c r="C12" s="9">
        <v>1100.0</v>
      </c>
      <c r="D12" s="9">
        <v>1.0</v>
      </c>
      <c r="E12" s="17">
        <f t="shared" si="1"/>
        <v>11</v>
      </c>
      <c r="F12" s="17">
        <f t="shared" si="2"/>
        <v>30</v>
      </c>
      <c r="G12" s="17">
        <f t="shared" si="3"/>
        <v>330</v>
      </c>
      <c r="H12" s="17">
        <f t="shared" si="4"/>
        <v>18.15</v>
      </c>
    </row>
    <row r="13">
      <c r="B13" s="9" t="s">
        <v>19</v>
      </c>
      <c r="C13" s="9">
        <v>250.0</v>
      </c>
      <c r="D13" s="9">
        <v>4.0</v>
      </c>
      <c r="E13" s="17">
        <f t="shared" si="1"/>
        <v>10</v>
      </c>
      <c r="F13" s="17">
        <f t="shared" si="2"/>
        <v>120</v>
      </c>
      <c r="G13" s="17">
        <f t="shared" si="3"/>
        <v>1200</v>
      </c>
      <c r="H13" s="17">
        <f t="shared" si="4"/>
        <v>66</v>
      </c>
    </row>
    <row r="15">
      <c r="G15" s="11" t="s">
        <v>20</v>
      </c>
      <c r="H15" s="17">
        <f>SUM(H5:H13)</f>
        <v>630.3</v>
      </c>
    </row>
    <row r="17">
      <c r="G17" s="11" t="s">
        <v>21</v>
      </c>
      <c r="H17" s="17">
        <f>H15*0.16</f>
        <v>100.848</v>
      </c>
    </row>
    <row r="19">
      <c r="F19" s="18" t="s">
        <v>22</v>
      </c>
      <c r="G19" s="19"/>
      <c r="H19" s="17">
        <f>SUM(H15+H17)</f>
        <v>731.148</v>
      </c>
    </row>
  </sheetData>
  <mergeCells count="6">
    <mergeCell ref="B2:H3"/>
    <mergeCell ref="B4:F4"/>
    <mergeCell ref="A5:A6"/>
    <mergeCell ref="B5:B6"/>
    <mergeCell ref="D5:D6"/>
    <mergeCell ref="F5:F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J1" s="20"/>
    </row>
    <row r="2">
      <c r="B2" s="21" t="s">
        <v>23</v>
      </c>
      <c r="J2" s="20"/>
    </row>
    <row r="3">
      <c r="J3" s="20"/>
    </row>
    <row r="4">
      <c r="B4" s="22" t="s">
        <v>24</v>
      </c>
      <c r="J4" s="20"/>
    </row>
    <row r="5" ht="17.25" customHeight="1"/>
    <row r="6" ht="29.25" customHeight="1">
      <c r="B6" s="23" t="s">
        <v>25</v>
      </c>
      <c r="C6" s="24" t="s">
        <v>26</v>
      </c>
      <c r="D6" s="24" t="s">
        <v>27</v>
      </c>
      <c r="E6" s="24" t="s">
        <v>28</v>
      </c>
      <c r="F6" s="23" t="s">
        <v>29</v>
      </c>
      <c r="G6" s="24" t="s">
        <v>30</v>
      </c>
    </row>
    <row r="7" ht="16.5" customHeight="1">
      <c r="B7" s="9" t="s">
        <v>31</v>
      </c>
      <c r="C7" s="25">
        <v>65000.0</v>
      </c>
      <c r="D7" s="26">
        <v>50000.0</v>
      </c>
      <c r="E7" s="26">
        <f t="shared" ref="E7:E12" si="1">D7*100/C7</f>
        <v>76.92307692</v>
      </c>
      <c r="F7" s="26">
        <f t="shared" ref="F7:F12" si="2">C7-D7</f>
        <v>15000</v>
      </c>
      <c r="G7" s="26" t="str">
        <f t="shared" ref="G7:G12" si="3">IF(E7&gt;60,"SI","NO")</f>
        <v>SI</v>
      </c>
    </row>
    <row r="8">
      <c r="B8" s="9" t="s">
        <v>32</v>
      </c>
      <c r="C8" s="25">
        <v>57000.0</v>
      </c>
      <c r="D8" s="26">
        <v>30000.0</v>
      </c>
      <c r="E8" s="26">
        <f t="shared" si="1"/>
        <v>52.63157895</v>
      </c>
      <c r="F8" s="26">
        <f t="shared" si="2"/>
        <v>27000</v>
      </c>
      <c r="G8" s="26" t="str">
        <f t="shared" si="3"/>
        <v>NO</v>
      </c>
    </row>
    <row r="9">
      <c r="B9" s="27" t="s">
        <v>33</v>
      </c>
      <c r="C9" s="25">
        <v>45000.0</v>
      </c>
      <c r="D9" s="26">
        <v>20000.0</v>
      </c>
      <c r="E9" s="26">
        <f t="shared" si="1"/>
        <v>44.44444444</v>
      </c>
      <c r="F9" s="26">
        <f t="shared" si="2"/>
        <v>25000</v>
      </c>
      <c r="G9" s="26" t="str">
        <f t="shared" si="3"/>
        <v>NO</v>
      </c>
    </row>
    <row r="10">
      <c r="B10" s="9" t="s">
        <v>34</v>
      </c>
      <c r="C10" s="25">
        <v>30000.0</v>
      </c>
      <c r="D10" s="26">
        <v>10000.0</v>
      </c>
      <c r="E10" s="26">
        <f t="shared" si="1"/>
        <v>33.33333333</v>
      </c>
      <c r="F10" s="26">
        <f t="shared" si="2"/>
        <v>20000</v>
      </c>
      <c r="G10" s="26" t="str">
        <f t="shared" si="3"/>
        <v>NO</v>
      </c>
    </row>
    <row r="11">
      <c r="B11" s="9" t="s">
        <v>35</v>
      </c>
      <c r="C11" s="25">
        <v>25000.0</v>
      </c>
      <c r="D11" s="26">
        <v>8000.0</v>
      </c>
      <c r="E11" s="26">
        <f t="shared" si="1"/>
        <v>32</v>
      </c>
      <c r="F11" s="26">
        <f t="shared" si="2"/>
        <v>17000</v>
      </c>
      <c r="G11" s="26" t="str">
        <f t="shared" si="3"/>
        <v>NO</v>
      </c>
    </row>
    <row r="12">
      <c r="B12" s="9" t="s">
        <v>36</v>
      </c>
      <c r="C12" s="25">
        <v>20000.0</v>
      </c>
      <c r="D12" s="26">
        <v>5000.0</v>
      </c>
      <c r="E12" s="26">
        <f t="shared" si="1"/>
        <v>25</v>
      </c>
      <c r="F12" s="26">
        <f t="shared" si="2"/>
        <v>15000</v>
      </c>
      <c r="G12" s="26" t="str">
        <f t="shared" si="3"/>
        <v>NO</v>
      </c>
    </row>
    <row r="13">
      <c r="C13" s="20"/>
      <c r="D13" s="20"/>
      <c r="E13" s="20"/>
      <c r="F13" s="20"/>
      <c r="G13" s="20"/>
    </row>
    <row r="16">
      <c r="E16" s="16" t="s">
        <v>37</v>
      </c>
      <c r="H16" s="28">
        <f>COUNTIF(G7:G12,"SI")</f>
        <v>1</v>
      </c>
    </row>
    <row r="17">
      <c r="E17" s="16" t="s">
        <v>38</v>
      </c>
      <c r="H17" s="25">
        <f>COUNTIF(G7:G12,"NO")</f>
        <v>5</v>
      </c>
    </row>
    <row r="19">
      <c r="E19" s="16" t="s">
        <v>39</v>
      </c>
      <c r="H19" s="25" t="s">
        <v>40</v>
      </c>
    </row>
  </sheetData>
  <mergeCells count="5">
    <mergeCell ref="B2:F3"/>
    <mergeCell ref="B4:D4"/>
    <mergeCell ref="E16:G16"/>
    <mergeCell ref="E17:G17"/>
    <mergeCell ref="E19:G1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29" t="s">
        <v>41</v>
      </c>
      <c r="C3" s="29" t="s">
        <v>42</v>
      </c>
      <c r="D3" s="29" t="s">
        <v>43</v>
      </c>
      <c r="E3" s="29" t="s">
        <v>44</v>
      </c>
    </row>
    <row r="4">
      <c r="B4" s="30">
        <v>545264.0</v>
      </c>
      <c r="C4" s="31" t="s">
        <v>45</v>
      </c>
      <c r="D4" s="30">
        <v>1.0</v>
      </c>
      <c r="E4" s="30">
        <f t="shared" ref="E4:E13" si="1">B4*D4</f>
        <v>545264</v>
      </c>
    </row>
    <row r="5">
      <c r="B5" s="30">
        <f t="shared" ref="B5:B13" si="2">B4</f>
        <v>545264</v>
      </c>
      <c r="C5" s="31" t="s">
        <v>45</v>
      </c>
      <c r="D5" s="30">
        <f t="shared" ref="D5:D13" si="3">D4+1</f>
        <v>2</v>
      </c>
      <c r="E5" s="30">
        <f t="shared" si="1"/>
        <v>1090528</v>
      </c>
    </row>
    <row r="6">
      <c r="B6" s="30">
        <f t="shared" si="2"/>
        <v>545264</v>
      </c>
      <c r="C6" s="31" t="s">
        <v>45</v>
      </c>
      <c r="D6" s="30">
        <f t="shared" si="3"/>
        <v>3</v>
      </c>
      <c r="E6" s="30">
        <f t="shared" si="1"/>
        <v>1635792</v>
      </c>
    </row>
    <row r="7">
      <c r="B7" s="30">
        <f t="shared" si="2"/>
        <v>545264</v>
      </c>
      <c r="C7" s="31" t="s">
        <v>45</v>
      </c>
      <c r="D7" s="30">
        <f t="shared" si="3"/>
        <v>4</v>
      </c>
      <c r="E7" s="30">
        <f t="shared" si="1"/>
        <v>2181056</v>
      </c>
    </row>
    <row r="8">
      <c r="B8" s="30">
        <f t="shared" si="2"/>
        <v>545264</v>
      </c>
      <c r="C8" s="31" t="s">
        <v>45</v>
      </c>
      <c r="D8" s="30">
        <f t="shared" si="3"/>
        <v>5</v>
      </c>
      <c r="E8" s="30">
        <f t="shared" si="1"/>
        <v>2726320</v>
      </c>
    </row>
    <row r="9">
      <c r="B9" s="30">
        <f t="shared" si="2"/>
        <v>545264</v>
      </c>
      <c r="C9" s="31" t="s">
        <v>45</v>
      </c>
      <c r="D9" s="30">
        <f t="shared" si="3"/>
        <v>6</v>
      </c>
      <c r="E9" s="30">
        <f t="shared" si="1"/>
        <v>3271584</v>
      </c>
    </row>
    <row r="10">
      <c r="B10" s="30">
        <f t="shared" si="2"/>
        <v>545264</v>
      </c>
      <c r="C10" s="31" t="s">
        <v>45</v>
      </c>
      <c r="D10" s="30">
        <f t="shared" si="3"/>
        <v>7</v>
      </c>
      <c r="E10" s="30">
        <f t="shared" si="1"/>
        <v>3816848</v>
      </c>
    </row>
    <row r="11">
      <c r="B11" s="30">
        <f t="shared" si="2"/>
        <v>545264</v>
      </c>
      <c r="C11" s="31" t="s">
        <v>45</v>
      </c>
      <c r="D11" s="30">
        <f t="shared" si="3"/>
        <v>8</v>
      </c>
      <c r="E11" s="30">
        <f t="shared" si="1"/>
        <v>4362112</v>
      </c>
    </row>
    <row r="12">
      <c r="B12" s="30">
        <f t="shared" si="2"/>
        <v>545264</v>
      </c>
      <c r="C12" s="31" t="s">
        <v>45</v>
      </c>
      <c r="D12" s="30">
        <f t="shared" si="3"/>
        <v>9</v>
      </c>
      <c r="E12" s="30">
        <f t="shared" si="1"/>
        <v>4907376</v>
      </c>
    </row>
    <row r="13">
      <c r="B13" s="30">
        <f t="shared" si="2"/>
        <v>545264</v>
      </c>
      <c r="C13" s="31" t="s">
        <v>45</v>
      </c>
      <c r="D13" s="30">
        <f t="shared" si="3"/>
        <v>10</v>
      </c>
      <c r="E13" s="30">
        <f t="shared" si="1"/>
        <v>5452640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32"/>
      <c r="C3" s="33" t="s">
        <v>46</v>
      </c>
      <c r="D3" s="33" t="s">
        <v>47</v>
      </c>
      <c r="E3" s="33" t="s">
        <v>48</v>
      </c>
      <c r="F3" s="32"/>
      <c r="G3" s="34" t="s">
        <v>49</v>
      </c>
      <c r="H3" s="35"/>
    </row>
    <row r="4">
      <c r="B4" s="36" t="s">
        <v>50</v>
      </c>
      <c r="C4" s="30">
        <v>120.0</v>
      </c>
      <c r="D4" s="30">
        <v>100.0</v>
      </c>
      <c r="E4" s="30">
        <v>90.0</v>
      </c>
      <c r="F4" s="32"/>
      <c r="G4" s="37">
        <f t="shared" ref="G4:G7" si="1">SUM(C4:E4)</f>
        <v>310</v>
      </c>
      <c r="H4" s="20"/>
    </row>
    <row r="5">
      <c r="B5" s="36" t="s">
        <v>51</v>
      </c>
      <c r="C5" s="30">
        <v>20.0</v>
      </c>
      <c r="D5" s="30">
        <v>40.0</v>
      </c>
      <c r="E5" s="30">
        <v>15.0</v>
      </c>
      <c r="F5" s="32"/>
      <c r="G5" s="37">
        <f t="shared" si="1"/>
        <v>75</v>
      </c>
    </row>
    <row r="6">
      <c r="B6" s="36" t="s">
        <v>52</v>
      </c>
      <c r="C6" s="30">
        <v>200.0</v>
      </c>
      <c r="D6" s="30">
        <v>150.0</v>
      </c>
      <c r="E6" s="30">
        <v>250.0</v>
      </c>
      <c r="F6" s="32"/>
      <c r="G6" s="37">
        <f t="shared" si="1"/>
        <v>600</v>
      </c>
    </row>
    <row r="7">
      <c r="B7" s="36" t="s">
        <v>53</v>
      </c>
      <c r="C7" s="30">
        <v>20.0</v>
      </c>
      <c r="D7" s="30">
        <v>20.0</v>
      </c>
      <c r="E7" s="30">
        <v>20.0</v>
      </c>
      <c r="F7" s="32"/>
      <c r="G7" s="37">
        <f t="shared" si="1"/>
        <v>60</v>
      </c>
    </row>
    <row r="8">
      <c r="B8" s="32"/>
      <c r="C8" s="32"/>
      <c r="D8" s="32"/>
      <c r="E8" s="32"/>
      <c r="F8" s="32"/>
      <c r="G8" s="32"/>
    </row>
    <row r="9">
      <c r="B9" s="31" t="s">
        <v>54</v>
      </c>
      <c r="C9" s="37">
        <f t="shared" ref="C9:E9" si="2">SUM(C4:C7)</f>
        <v>360</v>
      </c>
      <c r="D9" s="37">
        <f t="shared" si="2"/>
        <v>310</v>
      </c>
      <c r="E9" s="37">
        <f t="shared" si="2"/>
        <v>375</v>
      </c>
      <c r="F9" s="32"/>
      <c r="G9" s="30">
        <f>SUM(C9:E9)</f>
        <v>1045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32"/>
      <c r="C3" s="32"/>
      <c r="D3" s="32"/>
      <c r="E3" s="32"/>
      <c r="F3" s="32"/>
      <c r="G3" s="32"/>
    </row>
    <row r="4" ht="22.5" customHeight="1">
      <c r="B4" s="32"/>
      <c r="C4" s="38" t="s">
        <v>55</v>
      </c>
      <c r="D4" s="38" t="s">
        <v>56</v>
      </c>
      <c r="E4" s="38" t="s">
        <v>57</v>
      </c>
      <c r="F4" s="38" t="s">
        <v>58</v>
      </c>
      <c r="G4" s="38" t="s">
        <v>59</v>
      </c>
    </row>
    <row r="5" ht="22.5" customHeight="1">
      <c r="B5" s="32"/>
      <c r="C5" s="39" t="s">
        <v>60</v>
      </c>
      <c r="D5" s="40">
        <v>8.0</v>
      </c>
      <c r="E5" s="40">
        <v>5.0</v>
      </c>
      <c r="F5" s="40">
        <v>9.0</v>
      </c>
      <c r="G5" s="40">
        <f t="shared" ref="G5:G11" si="1">AVERAGE(D5:F5)</f>
        <v>7.333333333</v>
      </c>
    </row>
    <row r="6" ht="22.5" customHeight="1">
      <c r="B6" s="32"/>
      <c r="C6" s="41" t="s">
        <v>61</v>
      </c>
      <c r="D6" s="42">
        <v>1.25</v>
      </c>
      <c r="E6" s="40">
        <v>6.0</v>
      </c>
      <c r="F6" s="40">
        <v>8.0</v>
      </c>
      <c r="G6" s="40">
        <f t="shared" si="1"/>
        <v>5.083333333</v>
      </c>
    </row>
    <row r="7" ht="22.5" customHeight="1">
      <c r="B7" s="32"/>
      <c r="C7" s="39" t="s">
        <v>62</v>
      </c>
      <c r="D7" s="40">
        <v>9.0</v>
      </c>
      <c r="E7" s="40">
        <v>8.5</v>
      </c>
      <c r="F7" s="40">
        <v>9.5</v>
      </c>
      <c r="G7" s="40">
        <f t="shared" si="1"/>
        <v>9</v>
      </c>
    </row>
    <row r="8" ht="22.5" customHeight="1">
      <c r="B8" s="32"/>
      <c r="C8" s="41" t="s">
        <v>63</v>
      </c>
      <c r="D8" s="42">
        <v>2.55</v>
      </c>
      <c r="E8" s="40">
        <v>8.0</v>
      </c>
      <c r="F8" s="40">
        <v>7.44</v>
      </c>
      <c r="G8" s="40">
        <f t="shared" si="1"/>
        <v>5.996666667</v>
      </c>
    </row>
    <row r="9" ht="22.5" customHeight="1">
      <c r="B9" s="32"/>
      <c r="C9" s="39" t="s">
        <v>64</v>
      </c>
      <c r="D9" s="40">
        <v>6.0</v>
      </c>
      <c r="E9" s="40">
        <v>7.0</v>
      </c>
      <c r="F9" s="40">
        <v>5.0</v>
      </c>
      <c r="G9" s="40">
        <f t="shared" si="1"/>
        <v>6</v>
      </c>
    </row>
    <row r="10" ht="22.5" customHeight="1">
      <c r="B10" s="32"/>
      <c r="C10" s="41" t="s">
        <v>65</v>
      </c>
      <c r="D10" s="42">
        <v>4.5</v>
      </c>
      <c r="E10" s="40">
        <v>7.0</v>
      </c>
      <c r="F10" s="42">
        <v>4.0</v>
      </c>
      <c r="G10" s="40">
        <f t="shared" si="1"/>
        <v>5.166666667</v>
      </c>
    </row>
    <row r="11" ht="22.5" customHeight="1">
      <c r="B11" s="32"/>
      <c r="C11" s="39" t="s">
        <v>66</v>
      </c>
      <c r="D11" s="42">
        <v>4.5</v>
      </c>
      <c r="E11" s="40">
        <v>7.0</v>
      </c>
      <c r="F11" s="42">
        <v>4.0</v>
      </c>
      <c r="G11" s="40">
        <f t="shared" si="1"/>
        <v>5.166666667</v>
      </c>
    </row>
  </sheetData>
  <drawing r:id="rId1"/>
  <tableParts count="1">
    <tablePart r:id="rId3"/>
  </tableParts>
</worksheet>
</file>
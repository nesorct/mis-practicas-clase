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opia de Hoja 1" sheetId="2" r:id="rId6"/>
  </sheets>
  <definedNames/>
  <calcPr/>
</workbook>
</file>

<file path=xl/sharedStrings.xml><?xml version="1.0" encoding="utf-8"?>
<sst xmlns="http://schemas.openxmlformats.org/spreadsheetml/2006/main" count="26" uniqueCount="26">
  <si>
    <t xml:space="preserve">Alumnos </t>
  </si>
  <si>
    <t xml:space="preserve">Notas </t>
  </si>
  <si>
    <t xml:space="preserve">nota media </t>
  </si>
  <si>
    <t xml:space="preserve">Pablo </t>
  </si>
  <si>
    <t xml:space="preserve">Luis </t>
  </si>
  <si>
    <t>Juan m</t>
  </si>
  <si>
    <t xml:space="preserve">Emilio </t>
  </si>
  <si>
    <t>Izan</t>
  </si>
  <si>
    <t>KWH</t>
  </si>
  <si>
    <t>Aparato</t>
  </si>
  <si>
    <t>potencia watios</t>
  </si>
  <si>
    <t xml:space="preserve">hora de funcionamiento </t>
  </si>
  <si>
    <t>potencia kw</t>
  </si>
  <si>
    <t xml:space="preserve">horas mensuales </t>
  </si>
  <si>
    <t>energia kwh</t>
  </si>
  <si>
    <t>coste</t>
  </si>
  <si>
    <t>lavadora</t>
  </si>
  <si>
    <t>televisor</t>
  </si>
  <si>
    <t xml:space="preserve">frigorifico </t>
  </si>
  <si>
    <t>lavavajillas</t>
  </si>
  <si>
    <t xml:space="preserve">iluminacion </t>
  </si>
  <si>
    <t xml:space="preserve">plancha </t>
  </si>
  <si>
    <t xml:space="preserve">ordenador </t>
  </si>
  <si>
    <t>TOTAL</t>
  </si>
  <si>
    <t xml:space="preserve">IVA  </t>
  </si>
  <si>
    <t xml:space="preserve">total iva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</si>
</sst>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Notas , ,  y nota media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1'!$B$2:$B$6</c:f>
            </c:strRef>
          </c:cat>
          <c:val>
            <c:numRef>
              <c:f>'Hoja 1'!$C$2:$C$6</c:f>
              <c:numCache/>
            </c:numRef>
          </c:val>
        </c:ser>
        <c:ser>
          <c:idx val="1"/>
          <c:order val="1"/>
          <c:tx>
            <c:strRef>
              <c:f>'Hoja 1'!$D$1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1'!$B$2:$B$6</c:f>
            </c:strRef>
          </c:cat>
          <c:val>
            <c:numRef>
              <c:f>'Hoja 1'!$D$2:$D$6</c:f>
              <c:numCache/>
            </c:numRef>
          </c:val>
        </c:ser>
        <c:ser>
          <c:idx val="2"/>
          <c:order val="2"/>
          <c:tx>
            <c:strRef>
              <c:f>'Hoja 1'!$E$1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'Hoja 1'!$B$2:$B$6</c:f>
            </c:strRef>
          </c:cat>
          <c:val>
            <c:numRef>
              <c:f>'Hoja 1'!$E$2:$E$6</c:f>
              <c:numCache/>
            </c:numRef>
          </c:val>
        </c:ser>
        <c:ser>
          <c:idx val="3"/>
          <c:order val="3"/>
          <c:tx>
            <c:strRef>
              <c:f>'Hoja 1'!$F$1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'Hoja 1'!$B$2:$B$6</c:f>
            </c:strRef>
          </c:cat>
          <c:val>
            <c:numRef>
              <c:f>'Hoja 1'!$F$2:$F$6</c:f>
              <c:numCache/>
            </c:numRef>
          </c:val>
        </c:ser>
        <c:axId val="396144776"/>
        <c:axId val="2007176587"/>
      </c:barChart>
      <c:catAx>
        <c:axId val="396144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Alumnos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176587"/>
      </c:catAx>
      <c:valAx>
        <c:axId val="2007176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144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3"/>
      <c r="E1" s="4"/>
      <c r="F1" s="5" t="s">
        <v>2</v>
      </c>
    </row>
    <row r="2">
      <c r="B2" s="5" t="s">
        <v>3</v>
      </c>
      <c r="C2" s="6">
        <v>5.75</v>
      </c>
      <c r="D2" s="6">
        <v>7.0</v>
      </c>
      <c r="E2" s="6">
        <v>8.5</v>
      </c>
      <c r="F2" s="7">
        <f t="shared" ref="F2:F6" si="1">AVERAGE(C2:E2)</f>
        <v>7.083333333</v>
      </c>
    </row>
    <row r="3">
      <c r="B3" s="5" t="s">
        <v>4</v>
      </c>
      <c r="C3" s="6">
        <v>6.0</v>
      </c>
      <c r="D3" s="6">
        <v>5.0</v>
      </c>
      <c r="E3" s="6">
        <v>5.0</v>
      </c>
      <c r="F3" s="7">
        <f t="shared" si="1"/>
        <v>5.333333333</v>
      </c>
    </row>
    <row r="4">
      <c r="B4" s="5" t="s">
        <v>5</v>
      </c>
      <c r="C4" s="6">
        <v>7.0</v>
      </c>
      <c r="D4" s="6">
        <v>4.6</v>
      </c>
      <c r="E4" s="6">
        <v>2.25</v>
      </c>
      <c r="F4" s="7">
        <f t="shared" si="1"/>
        <v>4.616666667</v>
      </c>
    </row>
    <row r="5">
      <c r="B5" s="5" t="s">
        <v>6</v>
      </c>
      <c r="C5" s="6">
        <v>4.5</v>
      </c>
      <c r="D5" s="6">
        <v>4.0</v>
      </c>
      <c r="E5" s="6">
        <v>7.0</v>
      </c>
      <c r="F5" s="7">
        <f t="shared" si="1"/>
        <v>5.166666667</v>
      </c>
    </row>
    <row r="6">
      <c r="B6" s="5" t="s">
        <v>7</v>
      </c>
      <c r="C6" s="6">
        <v>5.5</v>
      </c>
      <c r="D6" s="6">
        <v>5.5</v>
      </c>
      <c r="E6" s="6">
        <v>3.1</v>
      </c>
      <c r="F6" s="7">
        <f t="shared" si="1"/>
        <v>4.7</v>
      </c>
    </row>
  </sheetData>
  <mergeCells count="1">
    <mergeCell ref="C1:E1"/>
  </mergeCells>
  <conditionalFormatting sqref="C2:F6">
    <cfRule type="cellIs" dxfId="0" priority="1" operator="greaterThan">
      <formula>5</formula>
    </cfRule>
  </conditionalFormatting>
  <conditionalFormatting sqref="C2:F6">
    <cfRule type="cellIs" dxfId="1" priority="2" operator="lessThan">
      <formula>5</formula>
    </cfRule>
  </conditionalFormatting>
  <conditionalFormatting sqref="C2:F6">
    <cfRule type="cellIs" dxfId="2" priority="3" operator="equal">
      <formula>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88"/>
    <col customWidth="1" min="10" max="10" width="17.25"/>
  </cols>
  <sheetData>
    <row r="1">
      <c r="B1" s="8"/>
      <c r="C1" s="9"/>
      <c r="F1" s="8"/>
    </row>
    <row r="2">
      <c r="B2" s="8"/>
      <c r="C2" s="8"/>
      <c r="D2" s="8"/>
      <c r="E2" s="8"/>
    </row>
    <row r="3">
      <c r="B3" s="8"/>
      <c r="C3" s="8"/>
      <c r="D3" s="8"/>
      <c r="E3" s="8"/>
      <c r="K3" s="8" t="s">
        <v>8</v>
      </c>
      <c r="L3" s="8">
        <v>0.055</v>
      </c>
    </row>
    <row r="4">
      <c r="B4" s="8"/>
      <c r="C4" s="8"/>
      <c r="D4" s="8"/>
      <c r="E4" s="8"/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>
      <c r="B5" s="8"/>
      <c r="C5" s="8"/>
      <c r="D5" s="8"/>
      <c r="E5" s="8"/>
      <c r="F5" s="6" t="s">
        <v>16</v>
      </c>
      <c r="G5" s="6">
        <v>2000.0</v>
      </c>
      <c r="H5" s="6">
        <v>2.0</v>
      </c>
      <c r="I5" s="7">
        <f t="shared" ref="I5:I11" si="1">G5/1000</f>
        <v>2</v>
      </c>
      <c r="J5" s="7">
        <f t="shared" ref="J5:J11" si="2">H5*30</f>
        <v>60</v>
      </c>
      <c r="K5" s="7">
        <f t="shared" ref="K5:K11" si="3">I5*J5</f>
        <v>120</v>
      </c>
      <c r="L5" s="7">
        <f>K5*L3</f>
        <v>6.6</v>
      </c>
    </row>
    <row r="6">
      <c r="B6" s="8"/>
      <c r="C6" s="8"/>
      <c r="D6" s="8"/>
      <c r="E6" s="8"/>
      <c r="F6" s="6" t="s">
        <v>17</v>
      </c>
      <c r="G6" s="6">
        <v>150.0</v>
      </c>
      <c r="H6" s="6">
        <v>3.0</v>
      </c>
      <c r="I6" s="7">
        <f t="shared" si="1"/>
        <v>0.15</v>
      </c>
      <c r="J6" s="7">
        <f t="shared" si="2"/>
        <v>90</v>
      </c>
      <c r="K6" s="7">
        <f t="shared" si="3"/>
        <v>13.5</v>
      </c>
      <c r="L6" s="7">
        <f>K6*L3</f>
        <v>0.7425</v>
      </c>
    </row>
    <row r="7">
      <c r="F7" s="6" t="s">
        <v>18</v>
      </c>
      <c r="G7" s="6">
        <v>300.0</v>
      </c>
      <c r="H7" s="6">
        <v>24.0</v>
      </c>
      <c r="I7" s="7">
        <f t="shared" si="1"/>
        <v>0.3</v>
      </c>
      <c r="J7" s="7">
        <f t="shared" si="2"/>
        <v>720</v>
      </c>
      <c r="K7" s="7">
        <f t="shared" si="3"/>
        <v>216</v>
      </c>
      <c r="L7" s="7">
        <f>K7*L3</f>
        <v>11.88</v>
      </c>
    </row>
    <row r="8">
      <c r="F8" s="6" t="s">
        <v>19</v>
      </c>
      <c r="G8" s="6">
        <v>1800.0</v>
      </c>
      <c r="H8" s="6">
        <v>3.0</v>
      </c>
      <c r="I8" s="7">
        <f t="shared" si="1"/>
        <v>1.8</v>
      </c>
      <c r="J8" s="7">
        <f t="shared" si="2"/>
        <v>90</v>
      </c>
      <c r="K8" s="7">
        <f t="shared" si="3"/>
        <v>162</v>
      </c>
      <c r="L8" s="7">
        <f>K8*L3</f>
        <v>8.91</v>
      </c>
    </row>
    <row r="9">
      <c r="F9" s="6" t="s">
        <v>20</v>
      </c>
      <c r="G9" s="6">
        <v>500.0</v>
      </c>
      <c r="H9" s="6">
        <v>6.0</v>
      </c>
      <c r="I9" s="7">
        <f t="shared" si="1"/>
        <v>0.5</v>
      </c>
      <c r="J9" s="7">
        <f t="shared" si="2"/>
        <v>180</v>
      </c>
      <c r="K9" s="7">
        <f t="shared" si="3"/>
        <v>90</v>
      </c>
      <c r="L9" s="7">
        <f>K9*L3</f>
        <v>4.95</v>
      </c>
    </row>
    <row r="10">
      <c r="F10" s="6" t="s">
        <v>21</v>
      </c>
      <c r="G10" s="6">
        <v>1100.0</v>
      </c>
      <c r="H10" s="6">
        <v>1.0</v>
      </c>
      <c r="I10" s="7">
        <f t="shared" si="1"/>
        <v>1.1</v>
      </c>
      <c r="J10" s="7">
        <f t="shared" si="2"/>
        <v>30</v>
      </c>
      <c r="K10" s="7">
        <f t="shared" si="3"/>
        <v>33</v>
      </c>
      <c r="L10" s="7">
        <f>K10*L3</f>
        <v>1.815</v>
      </c>
    </row>
    <row r="11">
      <c r="F11" s="6" t="s">
        <v>22</v>
      </c>
      <c r="G11" s="6">
        <v>250.0</v>
      </c>
      <c r="H11" s="6">
        <v>7.0</v>
      </c>
      <c r="I11" s="7">
        <f t="shared" si="1"/>
        <v>0.25</v>
      </c>
      <c r="J11" s="7">
        <f t="shared" si="2"/>
        <v>210</v>
      </c>
      <c r="K11" s="7">
        <f t="shared" si="3"/>
        <v>52.5</v>
      </c>
      <c r="L11" s="7">
        <f>K11*L3</f>
        <v>2.8875</v>
      </c>
    </row>
    <row r="13">
      <c r="K13" s="1" t="s">
        <v>23</v>
      </c>
      <c r="L13" s="7">
        <f>SUM(L5:L11)</f>
        <v>37.785</v>
      </c>
    </row>
    <row r="14">
      <c r="K14" s="1" t="s">
        <v>24</v>
      </c>
      <c r="L14" s="7">
        <f>L13*16%</f>
        <v>6.0456</v>
      </c>
    </row>
    <row r="15">
      <c r="K15" s="1" t="s">
        <v>25</v>
      </c>
      <c r="L15" s="7">
        <f>SUM(L13:L14)</f>
        <v>43.8306</v>
      </c>
    </row>
  </sheetData>
  <mergeCells count="1">
    <mergeCell ref="C1:E1"/>
  </mergeCells>
  <conditionalFormatting sqref="C2:F6">
    <cfRule type="cellIs" dxfId="0" priority="1" operator="greaterThan">
      <formula>5</formula>
    </cfRule>
  </conditionalFormatting>
  <conditionalFormatting sqref="C2:F6">
    <cfRule type="cellIs" dxfId="1" priority="2" operator="lessThan">
      <formula>5</formula>
    </cfRule>
  </conditionalFormatting>
  <conditionalFormatting sqref="C2:F6">
    <cfRule type="cellIs" dxfId="2" priority="3" operator="equal">
      <formula>5</formula>
    </cfRule>
  </conditionalFormatting>
  <conditionalFormatting sqref="J13">
    <cfRule type="notContainsBlanks" dxfId="0" priority="4">
      <formula>LEN(TRIM(J13))&gt;0</formula>
    </cfRule>
  </conditionalFormatting>
  <drawing r:id="rId1"/>
</worksheet>
</file>
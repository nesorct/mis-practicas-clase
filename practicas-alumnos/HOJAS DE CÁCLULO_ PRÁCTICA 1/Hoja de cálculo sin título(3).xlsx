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ACT 4 " sheetId="2" r:id="rId6"/>
  </sheets>
  <definedNames/>
  <calcPr/>
</workbook>
</file>

<file path=xl/sharedStrings.xml><?xml version="1.0" encoding="utf-8"?>
<sst xmlns="http://schemas.openxmlformats.org/spreadsheetml/2006/main" count="36" uniqueCount="36">
  <si>
    <t>TABLA DE NOTAS DE MIS COMPAÑEROS</t>
  </si>
  <si>
    <t>Columna 1</t>
  </si>
  <si>
    <t>Columna 3</t>
  </si>
  <si>
    <t>Columna 4</t>
  </si>
  <si>
    <t>Columna 5</t>
  </si>
  <si>
    <t>Columna 6</t>
  </si>
  <si>
    <t>NOMBRE</t>
  </si>
  <si>
    <t>NOTA 1</t>
  </si>
  <si>
    <t>NOTA 2</t>
  </si>
  <si>
    <t>NOTA 3</t>
  </si>
  <si>
    <t xml:space="preserve">NOTA MEDIA </t>
  </si>
  <si>
    <t>ISABEL</t>
  </si>
  <si>
    <t>MERYAM</t>
  </si>
  <si>
    <t>CHAIMA</t>
  </si>
  <si>
    <t>ESTELA</t>
  </si>
  <si>
    <t>HUGO</t>
  </si>
  <si>
    <t>YASMIN</t>
  </si>
  <si>
    <t xml:space="preserve">        CALCULO DE LA FACTURA DE LA COMPAÑIA ELECTRICA</t>
  </si>
  <si>
    <t xml:space="preserve">KWh = </t>
  </si>
  <si>
    <t xml:space="preserve">Aparato </t>
  </si>
  <si>
    <t xml:space="preserve">POTENCIA </t>
  </si>
  <si>
    <t xml:space="preserve">HORAS DE FUNCIONAMIENTO </t>
  </si>
  <si>
    <t>POTENCIA KW</t>
  </si>
  <si>
    <t>HORAS MENSUALES</t>
  </si>
  <si>
    <t>ENERGIA KWH</t>
  </si>
  <si>
    <t>COSTE €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</si>
  <si>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</si>
  <si>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</si>
  <si>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</si>
  <si>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</si>
  <si>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</si>
  <si>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</si>
  <si>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</si>
  <si>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>TOTAL</t>
  </si>
  <si>
    <t>IVA 16%</t>
  </si>
  <si>
    <t>TOTAL CON 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</si>
</sst>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4" fillId="3" fontId="1" numFmtId="0" xfId="0" applyAlignment="1" applyBorder="1" applyFill="1" applyFont="1">
      <alignment shrinkToFit="0" vertical="bottom" wrapText="0"/>
    </xf>
    <xf borderId="4" fillId="3" fontId="3" numFmtId="4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bottom" wrapText="0"/>
    </xf>
    <xf borderId="4" fillId="0" fontId="1" numFmtId="164" xfId="0" applyAlignment="1" applyBorder="1" applyFont="1" applyNumberFormat="1">
      <alignment shrinkToFit="0" vertical="bottom" wrapText="0"/>
    </xf>
    <xf borderId="4" fillId="0" fontId="1" numFmtId="4" xfId="0" applyAlignment="1" applyBorder="1" applyFont="1" applyNumberFormat="1">
      <alignment shrinkToFit="0" vertical="bottom" wrapText="0"/>
    </xf>
    <xf borderId="4" fillId="4" fontId="4" numFmtId="0" xfId="0" applyAlignment="1" applyBorder="1" applyFill="1" applyFont="1">
      <alignment readingOrder="0"/>
    </xf>
    <xf borderId="4" fillId="4" fontId="2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4" fillId="0" fontId="2" numFmtId="4" xfId="0" applyAlignment="1" applyBorder="1" applyFont="1" applyNumberFormat="1">
      <alignment readingOrder="0"/>
    </xf>
    <xf borderId="4" fillId="5" fontId="2" numFmtId="0" xfId="0" applyAlignment="1" applyBorder="1" applyFill="1" applyFont="1">
      <alignment readingOrder="0"/>
    </xf>
    <xf borderId="4" fillId="6" fontId="2" numFmtId="0" xfId="0" applyBorder="1" applyFill="1" applyFont="1"/>
    <xf borderId="4" fillId="7" fontId="2" numFmtId="0" xfId="0" applyAlignment="1" applyBorder="1" applyFill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E13" displayName="Tabla_1" name="Tabla_1" id="1">
  <tableColumns count="5">
    <tableColumn name="Columna 1" id="1"/>
    <tableColumn name="Columna 3" id="2"/>
    <tableColumn name="Columna 4" id="3"/>
    <tableColumn name="Columna 5" id="4"/>
    <tableColumn name="Columna 6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3.5"/>
    <col customWidth="1" min="4" max="4" width="16.75"/>
    <col customWidth="1" min="5" max="7" width="13.5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2" t="s">
        <v>0</v>
      </c>
      <c r="C3" s="3"/>
      <c r="D3" s="4"/>
      <c r="E3" s="1"/>
      <c r="F3" s="1"/>
    </row>
    <row r="4">
      <c r="A4" s="5"/>
      <c r="B4" s="5"/>
      <c r="C4" s="5"/>
      <c r="D4" s="5"/>
      <c r="E4" s="5"/>
      <c r="F4" s="5"/>
      <c r="G4" s="6"/>
    </row>
    <row r="5" ht="22.5" customHeight="1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</row>
    <row r="6" ht="22.5" customHeight="1">
      <c r="A6" s="8" t="s">
        <v>6</v>
      </c>
      <c r="B6" s="8" t="s">
        <v>7</v>
      </c>
      <c r="C6" s="8" t="s">
        <v>8</v>
      </c>
      <c r="D6" s="9" t="s">
        <v>9</v>
      </c>
      <c r="E6" s="8" t="s">
        <v>10</v>
      </c>
    </row>
    <row r="7" ht="22.5" customHeight="1">
      <c r="A7" s="10" t="s">
        <v>11</v>
      </c>
      <c r="B7" s="10">
        <v>9.0</v>
      </c>
      <c r="C7" s="10">
        <v>8.5</v>
      </c>
      <c r="D7" s="11">
        <v>9.4</v>
      </c>
      <c r="E7" s="12">
        <f t="shared" ref="E7:E12" si="1">AVERAGE(B7:D7)</f>
        <v>8.966666667</v>
      </c>
    </row>
    <row r="8" ht="22.5" customHeight="1">
      <c r="A8" s="10" t="s">
        <v>12</v>
      </c>
      <c r="B8" s="10">
        <v>2.5</v>
      </c>
      <c r="C8" s="10">
        <v>8.0</v>
      </c>
      <c r="D8" s="11">
        <v>7.4</v>
      </c>
      <c r="E8" s="12">
        <f t="shared" si="1"/>
        <v>5.966666667</v>
      </c>
    </row>
    <row r="9" ht="22.5" customHeight="1">
      <c r="A9" s="10" t="s">
        <v>13</v>
      </c>
      <c r="B9" s="10">
        <v>7.0</v>
      </c>
      <c r="C9" s="10">
        <v>8.25</v>
      </c>
      <c r="D9" s="11">
        <v>7.4</v>
      </c>
      <c r="E9" s="12">
        <f t="shared" si="1"/>
        <v>7.55</v>
      </c>
    </row>
    <row r="10" ht="22.5" customHeight="1">
      <c r="A10" s="13" t="s">
        <v>14</v>
      </c>
      <c r="B10" s="14">
        <v>46208.0</v>
      </c>
      <c r="C10" s="10">
        <v>7.5</v>
      </c>
      <c r="D10" s="11">
        <v>8.5</v>
      </c>
      <c r="E10" s="15">
        <f t="shared" si="1"/>
        <v>15408</v>
      </c>
    </row>
    <row r="11" ht="22.5" customHeight="1">
      <c r="A11" s="10" t="s">
        <v>15</v>
      </c>
      <c r="B11" s="10">
        <v>3.0</v>
      </c>
      <c r="C11" s="10">
        <v>9.0</v>
      </c>
      <c r="D11" s="11">
        <v>8.0</v>
      </c>
      <c r="E11" s="12">
        <f t="shared" si="1"/>
        <v>6.666666667</v>
      </c>
    </row>
    <row r="12" ht="22.5" customHeight="1">
      <c r="A12" s="10" t="s">
        <v>16</v>
      </c>
      <c r="B12" s="10">
        <v>9.75</v>
      </c>
      <c r="C12" s="10">
        <v>5.15</v>
      </c>
      <c r="D12" s="11">
        <v>6.0</v>
      </c>
      <c r="E12" s="12">
        <f t="shared" si="1"/>
        <v>6.966666667</v>
      </c>
    </row>
    <row r="13" ht="22.5" customHeight="1">
      <c r="A13" s="10"/>
      <c r="B13" s="12"/>
      <c r="C13" s="12"/>
      <c r="D13" s="16"/>
      <c r="E13" s="12"/>
    </row>
    <row r="14">
      <c r="G14" s="1"/>
    </row>
  </sheetData>
  <conditionalFormatting sqref="A5:E13">
    <cfRule type="cellIs" dxfId="5" priority="1" operator="greaterThanOrEqual">
      <formula>5</formula>
    </cfRule>
  </conditionalFormatting>
  <conditionalFormatting sqref="B7:E13">
    <cfRule type="cellIs" dxfId="6" priority="2" operator="lessThan">
      <formula>5</formula>
    </cfRule>
  </conditionalFormatting>
  <dataValidations>
    <dataValidation type="custom" allowBlank="1" showDropDown="1" sqref="D6:D13">
      <formula1>AND(ISNUMBER(D6),(NOT(OR(NOT(ISERROR(DATEVALUE(D6))), AND(ISNUMBER(D6), LEFT(CELL("format", D6))="D")))))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  <col customWidth="1" min="6" max="6" width="17.75"/>
    <col customWidth="1" min="7" max="7" width="13.63"/>
    <col customWidth="1" min="8" max="8" width="14.5"/>
  </cols>
  <sheetData>
    <row r="1">
      <c r="B1" s="17" t="s">
        <v>17</v>
      </c>
      <c r="C1" s="18"/>
      <c r="D1" s="18"/>
      <c r="E1" s="18"/>
      <c r="F1" s="18"/>
      <c r="G1" s="18"/>
      <c r="H1" s="18"/>
    </row>
    <row r="2" ht="24.0" customHeight="1">
      <c r="B2" s="19"/>
      <c r="C2" s="19"/>
      <c r="D2" s="19"/>
      <c r="E2" s="19"/>
      <c r="F2" s="19"/>
      <c r="G2" s="20" t="s">
        <v>18</v>
      </c>
      <c r="H2" s="21">
        <v>0.055</v>
      </c>
    </row>
    <row r="3" ht="47.25" customHeight="1">
      <c r="B3" s="22" t="s">
        <v>19</v>
      </c>
      <c r="C3" s="22" t="s">
        <v>20</v>
      </c>
      <c r="D3" s="22" t="s">
        <v>21</v>
      </c>
      <c r="E3" s="22" t="s">
        <v>22</v>
      </c>
      <c r="F3" s="22" t="s">
        <v>23</v>
      </c>
      <c r="G3" s="22" t="s">
        <v>24</v>
      </c>
      <c r="H3" s="22" t="s">
        <v>25</v>
      </c>
    </row>
    <row r="4">
      <c r="B4" s="20" t="s">
        <v>26</v>
      </c>
      <c r="C4" s="20">
        <v>2000.0</v>
      </c>
      <c r="D4" s="20">
        <v>2.0</v>
      </c>
      <c r="E4" s="23">
        <f t="shared" ref="E4:E10" si="1">C4/1000</f>
        <v>2</v>
      </c>
      <c r="F4" s="23">
        <f t="shared" ref="F4:F10" si="2">D4*30</f>
        <v>60</v>
      </c>
      <c r="G4" s="23">
        <f t="shared" ref="G4:G10" si="3">E4*F4</f>
        <v>120</v>
      </c>
      <c r="H4" s="23">
        <f>H2*G4</f>
        <v>6.6</v>
      </c>
    </row>
    <row r="5">
      <c r="B5" s="20" t="s">
        <v>27</v>
      </c>
      <c r="C5" s="20">
        <v>150.0</v>
      </c>
      <c r="D5" s="20">
        <v>5.0</v>
      </c>
      <c r="E5" s="23">
        <f t="shared" si="1"/>
        <v>0.15</v>
      </c>
      <c r="F5" s="23">
        <f t="shared" si="2"/>
        <v>150</v>
      </c>
      <c r="G5" s="23">
        <f t="shared" si="3"/>
        <v>22.5</v>
      </c>
      <c r="H5" s="23">
        <f>H2*G5</f>
        <v>1.2375</v>
      </c>
    </row>
    <row r="6">
      <c r="B6" s="20" t="s">
        <v>28</v>
      </c>
      <c r="C6" s="20">
        <v>300.0</v>
      </c>
      <c r="D6" s="20">
        <v>4.0</v>
      </c>
      <c r="E6" s="23">
        <f t="shared" si="1"/>
        <v>0.3</v>
      </c>
      <c r="F6" s="23">
        <f t="shared" si="2"/>
        <v>120</v>
      </c>
      <c r="G6" s="23">
        <f t="shared" si="3"/>
        <v>36</v>
      </c>
      <c r="H6" s="23">
        <f>H2*G6</f>
        <v>1.98</v>
      </c>
    </row>
    <row r="7">
      <c r="B7" s="20" t="s">
        <v>29</v>
      </c>
      <c r="C7" s="20">
        <v>1800.0</v>
      </c>
      <c r="D7" s="20">
        <v>1.5</v>
      </c>
      <c r="E7" s="23">
        <f t="shared" si="1"/>
        <v>1.8</v>
      </c>
      <c r="F7" s="23">
        <f t="shared" si="2"/>
        <v>45</v>
      </c>
      <c r="G7" s="23">
        <f t="shared" si="3"/>
        <v>81</v>
      </c>
      <c r="H7" s="23">
        <f>H2*G7</f>
        <v>4.455</v>
      </c>
    </row>
    <row r="8">
      <c r="B8" s="20" t="s">
        <v>30</v>
      </c>
      <c r="C8" s="20">
        <v>500.0</v>
      </c>
      <c r="D8" s="20">
        <v>5.0</v>
      </c>
      <c r="E8" s="23">
        <f t="shared" si="1"/>
        <v>0.5</v>
      </c>
      <c r="F8" s="23">
        <f t="shared" si="2"/>
        <v>150</v>
      </c>
      <c r="G8" s="23">
        <f t="shared" si="3"/>
        <v>75</v>
      </c>
      <c r="H8" s="23">
        <f>H2*G8</f>
        <v>4.125</v>
      </c>
    </row>
    <row r="9">
      <c r="B9" s="20" t="s">
        <v>31</v>
      </c>
      <c r="C9" s="20">
        <v>1100.0</v>
      </c>
      <c r="D9" s="20">
        <v>1.0</v>
      </c>
      <c r="E9" s="23">
        <f t="shared" si="1"/>
        <v>1.1</v>
      </c>
      <c r="F9" s="23">
        <f t="shared" si="2"/>
        <v>30</v>
      </c>
      <c r="G9" s="23">
        <f t="shared" si="3"/>
        <v>33</v>
      </c>
      <c r="H9" s="23">
        <f>H2*G9</f>
        <v>1.815</v>
      </c>
    </row>
    <row r="10">
      <c r="B10" s="20" t="s">
        <v>32</v>
      </c>
      <c r="C10" s="20">
        <v>250.0</v>
      </c>
      <c r="D10" s="20">
        <v>4.0</v>
      </c>
      <c r="E10" s="23">
        <f t="shared" si="1"/>
        <v>0.25</v>
      </c>
      <c r="F10" s="23">
        <f t="shared" si="2"/>
        <v>120</v>
      </c>
      <c r="G10" s="23">
        <f t="shared" si="3"/>
        <v>30</v>
      </c>
      <c r="H10" s="23">
        <f>H2*G10</f>
        <v>1.65</v>
      </c>
    </row>
    <row r="12">
      <c r="G12" s="24" t="s">
        <v>33</v>
      </c>
      <c r="H12" s="19">
        <f>H4+H5+H6+H7+H8+H9+H10</f>
        <v>21.8625</v>
      </c>
    </row>
    <row r="14">
      <c r="G14" s="24" t="s">
        <v>34</v>
      </c>
      <c r="H14" s="19">
        <f>16%*H12</f>
        <v>3.498</v>
      </c>
    </row>
    <row r="16">
      <c r="G16" s="24" t="s">
        <v>35</v>
      </c>
      <c r="H16" s="19">
        <f>H12+H14</f>
        <v>25.3605</v>
      </c>
    </row>
  </sheetData>
  <drawing r:id="rId1"/>
</worksheet>
</file>
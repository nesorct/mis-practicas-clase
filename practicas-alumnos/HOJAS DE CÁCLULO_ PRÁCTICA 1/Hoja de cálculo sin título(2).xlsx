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dad 1" sheetId="1" r:id="rId5"/>
    <sheet state="visible" name="ACTIVIDA 2" sheetId="2" r:id="rId6"/>
    <sheet state="visible" name="actividad 3" sheetId="3" r:id="rId7"/>
    <sheet state="visible" name="ACTIVIDAD 4" sheetId="4" r:id="rId8"/>
    <sheet state="visible" name="ACTIVIDAD 5" sheetId="5" r:id="rId9"/>
    <sheet state="visible" name="ACTIVIDAD 6" sheetId="6" r:id="rId10"/>
  </sheets>
  <definedNames/>
  <calcPr/>
</workbook>
</file>

<file path=xl/sharedStrings.xml><?xml version="1.0" encoding="utf-8"?>
<sst xmlns="http://schemas.openxmlformats.org/spreadsheetml/2006/main" count="96" uniqueCount="74">
  <si>
    <t>NUMERO</t>
  </si>
  <si>
    <t>OPERACION</t>
  </si>
  <si>
    <t>TABLA</t>
  </si>
  <si>
    <t>RESULTADO</t>
  </si>
  <si>
    <t>X</t>
  </si>
  <si>
    <t>JUNIO</t>
  </si>
  <si>
    <t>JULIO</t>
  </si>
  <si>
    <t>AGOSTO</t>
  </si>
  <si>
    <t>TOTAL TRIMESTRE</t>
  </si>
  <si>
    <t>GIMNASIO</t>
  </si>
  <si>
    <t>FIESTAS</t>
  </si>
  <si>
    <t>PISCINA</t>
  </si>
  <si>
    <t>COMIDA</t>
  </si>
  <si>
    <t>ALCOHOL</t>
  </si>
  <si>
    <t>TOTAL</t>
  </si>
  <si>
    <t>NOMBRE</t>
  </si>
  <si>
    <t>NOTA 1</t>
  </si>
  <si>
    <t>NOTA 2</t>
  </si>
  <si>
    <t>NOTA 3</t>
  </si>
  <si>
    <t>MEDIA</t>
  </si>
  <si>
    <t>Sergio</t>
  </si>
  <si>
    <t>Luis</t>
  </si>
  <si>
    <t>Santiago</t>
  </si>
  <si>
    <t>Steven</t>
  </si>
  <si>
    <t>Emilio</t>
  </si>
  <si>
    <t xml:space="preserve">   CÁLCULO DE LA FACTURA DE LA COMPAÑÍA ELÉCTRICA </t>
  </si>
  <si>
    <t>Aparato</t>
  </si>
  <si>
    <t>Potencias/watios</t>
  </si>
  <si>
    <t>Horas de funcionamiento diario</t>
  </si>
  <si>
    <t>Potencia/kw</t>
  </si>
  <si>
    <t>Horas mensuales</t>
  </si>
  <si>
    <t>Energia</t>
  </si>
  <si>
    <t>Coste</t>
  </si>
  <si>
    <t>lavadora</t>
  </si>
  <si>
    <t>television</t>
  </si>
  <si>
    <t>frigorifico</t>
  </si>
  <si>
    <t>lavavajillas</t>
  </si>
  <si>
    <t>iluminacion</t>
  </si>
  <si>
    <t>plancha</t>
  </si>
  <si>
    <t>ordenador</t>
  </si>
  <si>
    <t>IVA 16%</t>
  </si>
  <si>
    <t>TOTAL CON IVA</t>
  </si>
  <si>
    <t>PLAZAS OCUPADAS EN DIFERENTES ESTADIOS</t>
  </si>
  <si>
    <t>Ubicacion</t>
  </si>
  <si>
    <t>habitantes</t>
  </si>
  <si>
    <t>promedio de ocupacion</t>
  </si>
  <si>
    <t>porcentaje de ocupacion</t>
  </si>
  <si>
    <t>diferencia</t>
  </si>
  <si>
    <t>es rentable si,no?</t>
  </si>
  <si>
    <t>MADRID</t>
  </si>
  <si>
    <t>BARCELONA</t>
  </si>
  <si>
    <t>VALENCIA</t>
  </si>
  <si>
    <t>ZARAGOZA</t>
  </si>
  <si>
    <t>SEVILLA</t>
  </si>
  <si>
    <t>BILBAO</t>
  </si>
  <si>
    <t>Num campos rentables=</t>
  </si>
  <si>
    <t>Num campos no rentables=</t>
  </si>
  <si>
    <t>¿Es restable en conjunto? =</t>
  </si>
  <si>
    <t>POBLACIÓN DE ARAGÓN EN 2013</t>
  </si>
  <si>
    <t>Edad</t>
  </si>
  <si>
    <t>Hombres</t>
  </si>
  <si>
    <t>Mujeres</t>
  </si>
  <si>
    <t>Total</t>
  </si>
  <si>
    <t>0 a 9</t>
  </si>
  <si>
    <t>10 a 19</t>
  </si>
  <si>
    <t>20 a 29</t>
  </si>
  <si>
    <t>30 a 39</t>
  </si>
  <si>
    <t>40 a 49</t>
  </si>
  <si>
    <t>50 a 59</t>
  </si>
  <si>
    <t>60 a 69</t>
  </si>
  <si>
    <t>70 a 79</t>
  </si>
  <si>
    <t>80 a 89</t>
  </si>
  <si>
    <t>90 y mas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</si>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</sst>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color rgb="FFFF9900"/>
      <name val="Arial"/>
      <scheme val="minor"/>
    </font>
    <font>
      <sz val="12.0"/>
      <color rgb="FF0A0A0A"/>
      <name val="&quot;Google Sans&quot;"/>
    </font>
    <font>
      <color rgb="FF000000"/>
      <name val="Arial"/>
      <scheme val="minor"/>
    </font>
    <font>
      <sz val="11.0"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626E7A"/>
        <bgColor rgb="FF626E7A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45818E"/>
        <bgColor rgb="FF45818E"/>
      </patternFill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3" fontId="1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 shrinkToFit="0" wrapText="1"/>
    </xf>
    <xf borderId="1" fillId="5" fontId="1" numFmtId="0" xfId="0" applyAlignment="1" applyBorder="1" applyFill="1" applyFont="1">
      <alignment readingOrder="0"/>
    </xf>
    <xf borderId="1" fillId="6" fontId="1" numFmtId="0" xfId="0" applyBorder="1" applyFill="1" applyFont="1"/>
    <xf borderId="0" fillId="7" fontId="1" numFmtId="0" xfId="0" applyAlignment="1" applyFill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8" fontId="1" numFmtId="0" xfId="0" applyBorder="1" applyFill="1" applyFont="1"/>
    <xf borderId="3" fillId="8" fontId="1" numFmtId="0" xfId="0" applyBorder="1" applyFont="1"/>
    <xf borderId="4" fillId="8" fontId="1" numFmtId="0" xfId="0" applyBorder="1" applyFont="1"/>
    <xf borderId="5" fillId="8" fontId="2" numFmtId="0" xfId="0" applyAlignment="1" applyBorder="1" applyFont="1">
      <alignment readingOrder="0" shrinkToFit="0" wrapText="0"/>
    </xf>
    <xf borderId="5" fillId="8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1" fillId="9" fontId="1" numFmtId="0" xfId="0" applyAlignment="1" applyBorder="1" applyFill="1" applyFont="1">
      <alignment readingOrder="0" shrinkToFit="0" wrapText="1"/>
    </xf>
    <xf borderId="1" fillId="9" fontId="1" numFmtId="0" xfId="0" applyAlignment="1" applyBorder="1" applyFont="1">
      <alignment horizontal="left" readingOrder="0" shrinkToFit="0" wrapText="1"/>
    </xf>
    <xf borderId="1" fillId="9" fontId="1" numFmtId="0" xfId="0" applyAlignment="1" applyBorder="1" applyFont="1">
      <alignment readingOrder="0"/>
    </xf>
    <xf borderId="1" fillId="10" fontId="3" numFmtId="0" xfId="0" applyAlignment="1" applyBorder="1" applyFill="1" applyFont="1">
      <alignment readingOrder="0"/>
    </xf>
    <xf borderId="1" fillId="0" fontId="3" numFmtId="0" xfId="0" applyBorder="1" applyFont="1"/>
    <xf borderId="1" fillId="10" fontId="3" numFmtId="0" xfId="0" applyAlignment="1" applyBorder="1" applyFont="1">
      <alignment readingOrder="0" shrinkToFit="0" wrapText="1"/>
    </xf>
    <xf borderId="0" fillId="0" fontId="1" numFmtId="9" xfId="0" applyAlignment="1" applyFont="1" applyNumberFormat="1">
      <alignment readingOrder="0"/>
    </xf>
    <xf borderId="0" fillId="11" fontId="1" numFmtId="0" xfId="0" applyAlignment="1" applyFill="1" applyFont="1">
      <alignment readingOrder="0"/>
    </xf>
    <xf borderId="0" fillId="11" fontId="1" numFmtId="0" xfId="0" applyFont="1"/>
    <xf borderId="1" fillId="12" fontId="1" numFmtId="0" xfId="0" applyAlignment="1" applyBorder="1" applyFill="1" applyFont="1">
      <alignment readingOrder="0" shrinkToFit="0" wrapText="1"/>
    </xf>
    <xf borderId="1" fillId="13" fontId="1" numFmtId="0" xfId="0" applyAlignment="1" applyBorder="1" applyFill="1" applyFont="1">
      <alignment readingOrder="0"/>
    </xf>
    <xf borderId="1" fillId="0" fontId="4" numFmtId="3" xfId="0" applyAlignment="1" applyBorder="1" applyFont="1" applyNumberFormat="1">
      <alignment readingOrder="0" shrinkToFit="0" wrapText="1"/>
    </xf>
    <xf borderId="1" fillId="0" fontId="1" numFmtId="3" xfId="0" applyBorder="1" applyFont="1" applyNumberFormat="1"/>
    <xf borderId="1" fillId="14" fontId="4" numFmtId="0" xfId="0" applyAlignment="1" applyBorder="1" applyFill="1" applyFont="1">
      <alignment readingOrder="0" shrinkToFit="0" wrapText="1"/>
    </xf>
    <xf borderId="1" fillId="0" fontId="2" numFmtId="0" xfId="0" applyAlignment="1" applyBorder="1" applyFont="1">
      <alignment readingOrder="0"/>
    </xf>
    <xf borderId="0" fillId="12" fontId="1" numFmtId="0" xfId="0" applyAlignment="1" applyFont="1">
      <alignment horizontal="right" readingOrder="0" shrinkToFit="0" wrapText="1"/>
    </xf>
    <xf borderId="0" fillId="0" fontId="5" numFmtId="0" xfId="0" applyFont="1"/>
    <xf borderId="0" fillId="0" fontId="1" numFmtId="0" xfId="0" applyAlignment="1" applyFont="1">
      <alignment horizontal="left" readingOrder="0"/>
    </xf>
    <xf borderId="0" fillId="12" fontId="1" numFmtId="0" xfId="0" applyAlignment="1" applyFont="1">
      <alignment readingOrder="0" shrinkToFit="0" wrapText="1"/>
    </xf>
    <xf borderId="0" fillId="0" fontId="1" numFmtId="0" xfId="0" applyFont="1"/>
    <xf borderId="0" fillId="2" fontId="1" numFmtId="0" xfId="0" applyAlignment="1" applyFont="1">
      <alignment readingOrder="0"/>
    </xf>
    <xf borderId="0" fillId="2" fontId="1" numFmtId="0" xfId="0" applyFont="1"/>
    <xf borderId="0" fillId="3" fontId="1" numFmtId="0" xfId="0" applyFont="1"/>
    <xf borderId="0" fillId="0" fontId="6" numFmtId="0" xfId="0" applyFont="1"/>
    <xf borderId="1" fillId="15" fontId="1" numFmtId="0" xfId="0" applyAlignment="1" applyBorder="1" applyFill="1" applyFont="1">
      <alignment readingOrder="0"/>
    </xf>
    <xf borderId="1" fillId="2" fontId="1" numFmtId="0" xfId="0" applyAlignment="1" applyBorder="1" applyFont="1">
      <alignment readingOrder="0"/>
    </xf>
    <xf borderId="1" fillId="0" fontId="1" numFmtId="3" xfId="0" applyAlignment="1" applyBorder="1" applyFont="1" applyNumberFormat="1">
      <alignment readingOrder="0"/>
    </xf>
    <xf borderId="1" fillId="16" fontId="1" numFmtId="0" xfId="0" applyAlignment="1" applyBorder="1" applyFill="1" applyFont="1">
      <alignment horizontal="right" readingOrder="0"/>
    </xf>
    <xf borderId="1" fillId="16" fontId="1" numFmtId="3" xfId="0" applyBorder="1" applyFont="1" applyNumberFormat="1"/>
    <xf borderId="1" fillId="16" fontId="1" numFmtId="3" xfId="0" applyAlignment="1" applyBorder="1" applyFont="1" applyNumberFormat="1">
      <alignment readingOrder="0"/>
    </xf>
  </cellXfs>
  <cellStyles count="1">
    <cellStyle xfId="0" name="Normal" builtinId="0"/>
  </cellStyles>
  <dxfs count="8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1">
    <tableStyle count="4" pivot="0" name="actividad 3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Hombres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'ACTIVIDAD 6'!$C$7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'ACTIVIDAD 6'!$B$8:$B$17</c:f>
            </c:strRef>
          </c:cat>
          <c:val>
            <c:numRef>
              <c:f>'ACTIVIDAD 6'!$C$8:$C$17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Mujeres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'ACTIVIDAD 6'!$D$47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'ACTIVIDAD 6'!$C$48:$C$57</c:f>
            </c:strRef>
          </c:cat>
          <c:val>
            <c:numRef>
              <c:f>'ACTIVIDAD 6'!$D$48:$D$57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21</xdr:row>
      <xdr:rowOff>28575</xdr:rowOff>
    </xdr:from>
    <xdr:ext cx="4991100" cy="30861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590550</xdr:colOff>
      <xdr:row>40</xdr:row>
      <xdr:rowOff>38100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E8" displayName="ALUMNOS" name="ALUMNOS" id="1">
  <tableColumns count="5">
    <tableColumn name="NOMBRE" id="1"/>
    <tableColumn name="NOTA 1" id="2"/>
    <tableColumn name="NOTA 2" id="3"/>
    <tableColumn name="NOTA 3" id="4"/>
    <tableColumn name="MEDIA" id="5"/>
  </tableColumns>
  <tableStyleInfo name="actividad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3">
        <v>5.0</v>
      </c>
      <c r="B2" s="3" t="s">
        <v>4</v>
      </c>
      <c r="C2" s="3">
        <v>1.0</v>
      </c>
      <c r="D2" s="3">
        <f t="shared" ref="D2:D10" si="1">A3*C2</f>
        <v>5</v>
      </c>
    </row>
    <row r="3">
      <c r="A3" s="3">
        <v>5.0</v>
      </c>
      <c r="B3" s="3" t="s">
        <v>4</v>
      </c>
      <c r="C3" s="4">
        <f t="shared" ref="C3:C11" si="2">C2+1</f>
        <v>2</v>
      </c>
      <c r="D3" s="3">
        <f t="shared" si="1"/>
        <v>10</v>
      </c>
    </row>
    <row r="4">
      <c r="A4" s="3">
        <v>5.0</v>
      </c>
      <c r="B4" s="3" t="s">
        <v>4</v>
      </c>
      <c r="C4" s="4">
        <f t="shared" si="2"/>
        <v>3</v>
      </c>
      <c r="D4" s="3">
        <f t="shared" si="1"/>
        <v>15</v>
      </c>
    </row>
    <row r="5">
      <c r="A5" s="3">
        <v>5.0</v>
      </c>
      <c r="B5" s="3" t="s">
        <v>4</v>
      </c>
      <c r="C5" s="4">
        <f t="shared" si="2"/>
        <v>4</v>
      </c>
      <c r="D5" s="3">
        <f t="shared" si="1"/>
        <v>20</v>
      </c>
    </row>
    <row r="6">
      <c r="A6" s="3">
        <v>5.0</v>
      </c>
      <c r="B6" s="3" t="s">
        <v>4</v>
      </c>
      <c r="C6" s="4">
        <f t="shared" si="2"/>
        <v>5</v>
      </c>
      <c r="D6" s="3">
        <f t="shared" si="1"/>
        <v>25</v>
      </c>
    </row>
    <row r="7">
      <c r="A7" s="3">
        <v>5.0</v>
      </c>
      <c r="B7" s="3" t="s">
        <v>4</v>
      </c>
      <c r="C7" s="4">
        <f t="shared" si="2"/>
        <v>6</v>
      </c>
      <c r="D7" s="3">
        <f t="shared" si="1"/>
        <v>30</v>
      </c>
    </row>
    <row r="8">
      <c r="A8" s="3">
        <v>5.0</v>
      </c>
      <c r="B8" s="3" t="s">
        <v>4</v>
      </c>
      <c r="C8" s="4">
        <f t="shared" si="2"/>
        <v>7</v>
      </c>
      <c r="D8" s="3">
        <f t="shared" si="1"/>
        <v>35</v>
      </c>
    </row>
    <row r="9">
      <c r="A9" s="3">
        <v>5.0</v>
      </c>
      <c r="B9" s="3" t="s">
        <v>4</v>
      </c>
      <c r="C9" s="4">
        <f t="shared" si="2"/>
        <v>8</v>
      </c>
      <c r="D9" s="3">
        <f t="shared" si="1"/>
        <v>40</v>
      </c>
    </row>
    <row r="10">
      <c r="A10" s="3">
        <v>5.0</v>
      </c>
      <c r="B10" s="3" t="s">
        <v>4</v>
      </c>
      <c r="C10" s="4">
        <f t="shared" si="2"/>
        <v>9</v>
      </c>
      <c r="D10" s="3">
        <f t="shared" si="1"/>
        <v>45</v>
      </c>
    </row>
    <row r="11">
      <c r="A11" s="3">
        <v>5.0</v>
      </c>
      <c r="B11" s="3" t="s">
        <v>4</v>
      </c>
      <c r="C11" s="4">
        <f t="shared" si="2"/>
        <v>10</v>
      </c>
      <c r="D11" s="3">
        <f>A11*C11</f>
        <v>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5" t="s">
        <v>5</v>
      </c>
      <c r="D1" s="5" t="s">
        <v>6</v>
      </c>
      <c r="E1" s="5" t="s">
        <v>7</v>
      </c>
      <c r="G1" s="6" t="s">
        <v>8</v>
      </c>
    </row>
    <row r="2">
      <c r="B2" s="7" t="s">
        <v>9</v>
      </c>
      <c r="C2" s="3">
        <v>40.0</v>
      </c>
      <c r="D2" s="3">
        <v>40.0</v>
      </c>
      <c r="E2" s="3">
        <v>40.0</v>
      </c>
      <c r="G2" s="4">
        <f t="shared" ref="G2:G6" si="1">SUM(C2:E2)</f>
        <v>120</v>
      </c>
    </row>
    <row r="3">
      <c r="B3" s="7" t="s">
        <v>10</v>
      </c>
      <c r="C3" s="3">
        <v>20.0</v>
      </c>
      <c r="D3" s="3">
        <v>15.0</v>
      </c>
      <c r="E3" s="3">
        <v>15.0</v>
      </c>
      <c r="G3" s="4">
        <f t="shared" si="1"/>
        <v>50</v>
      </c>
    </row>
    <row r="4">
      <c r="B4" s="7" t="s">
        <v>11</v>
      </c>
      <c r="C4" s="3">
        <v>5.0</v>
      </c>
      <c r="D4" s="3">
        <v>5.0</v>
      </c>
      <c r="E4" s="3">
        <v>5.0</v>
      </c>
      <c r="G4" s="4">
        <f t="shared" si="1"/>
        <v>15</v>
      </c>
    </row>
    <row r="5">
      <c r="B5" s="7" t="s">
        <v>12</v>
      </c>
      <c r="C5" s="3">
        <v>20.0</v>
      </c>
      <c r="D5" s="3">
        <v>10.0</v>
      </c>
      <c r="E5" s="3">
        <v>40.0</v>
      </c>
      <c r="G5" s="4">
        <f t="shared" si="1"/>
        <v>70</v>
      </c>
    </row>
    <row r="6">
      <c r="B6" s="7" t="s">
        <v>13</v>
      </c>
      <c r="C6" s="3">
        <v>15.0</v>
      </c>
      <c r="D6" s="3">
        <v>12.0</v>
      </c>
      <c r="E6" s="3">
        <v>17.0</v>
      </c>
      <c r="G6" s="4">
        <f t="shared" si="1"/>
        <v>44</v>
      </c>
    </row>
    <row r="9">
      <c r="B9" s="3" t="s">
        <v>14</v>
      </c>
      <c r="C9" s="8">
        <f t="shared" ref="C9:E9" si="2">SUM(C2:C6)</f>
        <v>100</v>
      </c>
      <c r="D9" s="8">
        <f t="shared" si="2"/>
        <v>82</v>
      </c>
      <c r="E9" s="8">
        <f t="shared" si="2"/>
        <v>117</v>
      </c>
      <c r="G9" s="4">
        <f>SUM(C9:E9)</f>
        <v>299</v>
      </c>
    </row>
  </sheetData>
  <conditionalFormatting sqref="G9">
    <cfRule type="cellIs" dxfId="0" priority="1" operator="greaterThan">
      <formula>200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3" ht="22.5" customHeight="1">
      <c r="A3" s="9" t="s">
        <v>15</v>
      </c>
      <c r="B3" s="9" t="s">
        <v>16</v>
      </c>
      <c r="C3" s="9" t="s">
        <v>17</v>
      </c>
      <c r="D3" s="9" t="s">
        <v>18</v>
      </c>
      <c r="E3" s="9" t="s">
        <v>19</v>
      </c>
    </row>
    <row r="4" ht="22.5" customHeight="1">
      <c r="A4" s="10" t="s">
        <v>20</v>
      </c>
      <c r="B4" s="11">
        <v>4.0</v>
      </c>
      <c r="C4" s="11">
        <v>4.3</v>
      </c>
      <c r="D4" s="11">
        <v>2.0</v>
      </c>
      <c r="E4" s="12">
        <f t="shared" ref="E4:E8" si="1">AVERAGE(B4:D4)</f>
        <v>3.433333333</v>
      </c>
    </row>
    <row r="5" ht="22.5" customHeight="1">
      <c r="A5" s="10" t="s">
        <v>21</v>
      </c>
      <c r="B5" s="11">
        <v>8.0</v>
      </c>
      <c r="C5" s="11">
        <v>5.0</v>
      </c>
      <c r="D5" s="13">
        <v>2.0</v>
      </c>
      <c r="E5" s="12">
        <f t="shared" si="1"/>
        <v>5</v>
      </c>
    </row>
    <row r="6" ht="22.5" customHeight="1">
      <c r="A6" s="10" t="s">
        <v>22</v>
      </c>
      <c r="B6" s="11">
        <v>9.9</v>
      </c>
      <c r="C6" s="11">
        <v>7.0</v>
      </c>
      <c r="D6" s="11">
        <v>4.8</v>
      </c>
      <c r="E6" s="12">
        <f t="shared" si="1"/>
        <v>7.233333333</v>
      </c>
    </row>
    <row r="7" ht="22.5" customHeight="1">
      <c r="A7" s="10" t="s">
        <v>23</v>
      </c>
      <c r="B7" s="11">
        <v>4.0</v>
      </c>
      <c r="C7" s="11">
        <v>4.7</v>
      </c>
      <c r="D7" s="11">
        <v>9.2</v>
      </c>
      <c r="E7" s="12">
        <f t="shared" si="1"/>
        <v>5.966666667</v>
      </c>
    </row>
    <row r="8" ht="22.5" customHeight="1">
      <c r="A8" s="10" t="s">
        <v>24</v>
      </c>
      <c r="B8" s="11">
        <v>4.0</v>
      </c>
      <c r="C8" s="11">
        <v>5.0</v>
      </c>
      <c r="D8" s="11">
        <v>7.0</v>
      </c>
      <c r="E8" s="12">
        <f t="shared" si="1"/>
        <v>5.333333333</v>
      </c>
    </row>
  </sheetData>
  <conditionalFormatting sqref="B4:E8">
    <cfRule type="cellIs" dxfId="6" priority="1" operator="greaterThanOrEqual">
      <formula>5</formula>
    </cfRule>
  </conditionalFormatting>
  <conditionalFormatting sqref="B4:E8">
    <cfRule type="cellIs" dxfId="7" priority="2" operator="lessThan">
      <formula>5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4"/>
      <c r="C2" s="15"/>
      <c r="D2" s="15"/>
      <c r="E2" s="15"/>
      <c r="F2" s="16"/>
    </row>
    <row r="3">
      <c r="B3" s="17" t="s">
        <v>25</v>
      </c>
      <c r="C3" s="18"/>
      <c r="D3" s="18"/>
      <c r="E3" s="18"/>
      <c r="F3" s="18"/>
    </row>
    <row r="4">
      <c r="B4" s="19"/>
      <c r="C4" s="20"/>
      <c r="D4" s="20"/>
      <c r="E4" s="20"/>
      <c r="F4" s="21"/>
      <c r="G4" s="4"/>
      <c r="H4" s="4"/>
    </row>
    <row r="5">
      <c r="B5" s="22" t="s">
        <v>26</v>
      </c>
      <c r="C5" s="23" t="s">
        <v>27</v>
      </c>
      <c r="D5" s="22" t="s">
        <v>28</v>
      </c>
      <c r="E5" s="24" t="s">
        <v>29</v>
      </c>
      <c r="F5" s="22" t="s">
        <v>30</v>
      </c>
      <c r="G5" s="24" t="s">
        <v>31</v>
      </c>
      <c r="H5" s="24" t="s">
        <v>32</v>
      </c>
    </row>
    <row r="6">
      <c r="B6" s="3" t="s">
        <v>33</v>
      </c>
      <c r="C6" s="3">
        <v>2000.0</v>
      </c>
      <c r="D6" s="3">
        <v>2.0</v>
      </c>
      <c r="E6" s="4">
        <f t="shared" ref="E6:E12" si="1">C6/1000</f>
        <v>2</v>
      </c>
      <c r="F6" s="4">
        <f t="shared" ref="F6:F12" si="2">D6*30</f>
        <v>60</v>
      </c>
      <c r="G6" s="4">
        <f t="shared" ref="G6:G12" si="3">E6*F6</f>
        <v>120</v>
      </c>
      <c r="H6" s="4">
        <f t="shared" ref="H6:H12" si="4">G6*0.055</f>
        <v>6.6</v>
      </c>
    </row>
    <row r="7">
      <c r="B7" s="3" t="s">
        <v>34</v>
      </c>
      <c r="C7" s="3">
        <v>150.0</v>
      </c>
      <c r="D7" s="3">
        <v>5.0</v>
      </c>
      <c r="E7" s="4">
        <f t="shared" si="1"/>
        <v>0.15</v>
      </c>
      <c r="F7" s="4">
        <f t="shared" si="2"/>
        <v>150</v>
      </c>
      <c r="G7" s="4">
        <f t="shared" si="3"/>
        <v>22.5</v>
      </c>
      <c r="H7" s="4">
        <f t="shared" si="4"/>
        <v>1.2375</v>
      </c>
    </row>
    <row r="8">
      <c r="B8" s="3" t="s">
        <v>35</v>
      </c>
      <c r="C8" s="3">
        <v>300.0</v>
      </c>
      <c r="D8" s="3">
        <v>4.0</v>
      </c>
      <c r="E8" s="4">
        <f t="shared" si="1"/>
        <v>0.3</v>
      </c>
      <c r="F8" s="4">
        <f t="shared" si="2"/>
        <v>120</v>
      </c>
      <c r="G8" s="4">
        <f t="shared" si="3"/>
        <v>36</v>
      </c>
      <c r="H8" s="4">
        <f t="shared" si="4"/>
        <v>1.98</v>
      </c>
    </row>
    <row r="9">
      <c r="B9" s="3" t="s">
        <v>36</v>
      </c>
      <c r="C9" s="3">
        <v>1800.0</v>
      </c>
      <c r="D9" s="3">
        <v>1.5</v>
      </c>
      <c r="E9" s="4">
        <f t="shared" si="1"/>
        <v>1.8</v>
      </c>
      <c r="F9" s="4">
        <f t="shared" si="2"/>
        <v>45</v>
      </c>
      <c r="G9" s="4">
        <f t="shared" si="3"/>
        <v>81</v>
      </c>
      <c r="H9" s="4">
        <f t="shared" si="4"/>
        <v>4.455</v>
      </c>
    </row>
    <row r="10">
      <c r="B10" s="3" t="s">
        <v>37</v>
      </c>
      <c r="C10" s="3">
        <v>500.0</v>
      </c>
      <c r="D10" s="3">
        <v>5.0</v>
      </c>
      <c r="E10" s="4">
        <f t="shared" si="1"/>
        <v>0.5</v>
      </c>
      <c r="F10" s="4">
        <f t="shared" si="2"/>
        <v>150</v>
      </c>
      <c r="G10" s="4">
        <f t="shared" si="3"/>
        <v>75</v>
      </c>
      <c r="H10" s="4">
        <f t="shared" si="4"/>
        <v>4.125</v>
      </c>
    </row>
    <row r="11">
      <c r="B11" s="3" t="s">
        <v>38</v>
      </c>
      <c r="C11" s="3">
        <v>1100.0</v>
      </c>
      <c r="D11" s="3">
        <v>1.0</v>
      </c>
      <c r="E11" s="4">
        <f t="shared" si="1"/>
        <v>1.1</v>
      </c>
      <c r="F11" s="4">
        <f t="shared" si="2"/>
        <v>30</v>
      </c>
      <c r="G11" s="4">
        <f t="shared" si="3"/>
        <v>33</v>
      </c>
      <c r="H11" s="4">
        <f t="shared" si="4"/>
        <v>1.815</v>
      </c>
    </row>
    <row r="12">
      <c r="B12" s="3" t="s">
        <v>39</v>
      </c>
      <c r="C12" s="3">
        <v>250.0</v>
      </c>
      <c r="D12" s="3">
        <v>4.0</v>
      </c>
      <c r="E12" s="4">
        <f t="shared" si="1"/>
        <v>0.25</v>
      </c>
      <c r="F12" s="4">
        <f t="shared" si="2"/>
        <v>120</v>
      </c>
      <c r="G12" s="4">
        <f t="shared" si="3"/>
        <v>30</v>
      </c>
      <c r="H12" s="4">
        <f t="shared" si="4"/>
        <v>1.65</v>
      </c>
    </row>
    <row r="15">
      <c r="G15" s="25" t="s">
        <v>14</v>
      </c>
      <c r="H15" s="26">
        <f>SUM(H6:H12)</f>
        <v>21.8625</v>
      </c>
    </row>
    <row r="16">
      <c r="G16" s="25" t="s">
        <v>40</v>
      </c>
      <c r="H16" s="26">
        <f>H15*16%</f>
        <v>3.498</v>
      </c>
    </row>
    <row r="17">
      <c r="G17" s="27" t="s">
        <v>41</v>
      </c>
      <c r="H17" s="26">
        <f>H15+H16</f>
        <v>25.3605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C3" s="28"/>
    </row>
    <row r="6">
      <c r="D6" s="29" t="s">
        <v>42</v>
      </c>
      <c r="E6" s="30"/>
      <c r="F6" s="30"/>
      <c r="G6" s="30"/>
    </row>
    <row r="8">
      <c r="D8" s="31" t="s">
        <v>43</v>
      </c>
      <c r="E8" s="31" t="s">
        <v>44</v>
      </c>
      <c r="F8" s="31" t="s">
        <v>45</v>
      </c>
      <c r="G8" s="31" t="s">
        <v>46</v>
      </c>
      <c r="H8" s="31" t="s">
        <v>47</v>
      </c>
      <c r="I8" s="31" t="s">
        <v>48</v>
      </c>
    </row>
    <row r="9">
      <c r="D9" s="32" t="s">
        <v>49</v>
      </c>
      <c r="E9" s="33">
        <v>65000.0</v>
      </c>
      <c r="F9" s="3">
        <v>20000.0</v>
      </c>
      <c r="G9" s="4">
        <f t="shared" ref="G9:G14" si="1">F9*100/E9</f>
        <v>30.76923077</v>
      </c>
      <c r="H9" s="34">
        <f t="shared" ref="H9:H14" si="2">E9-F9</f>
        <v>45000</v>
      </c>
      <c r="I9" s="4" t="str">
        <f t="shared" ref="I9:I14" si="3">IF(G9&gt;=60%,"SI","NO")</f>
        <v>SI</v>
      </c>
    </row>
    <row r="10">
      <c r="D10" s="32" t="s">
        <v>50</v>
      </c>
      <c r="E10" s="35">
        <v>57000.0</v>
      </c>
      <c r="F10" s="3">
        <v>40000.0</v>
      </c>
      <c r="G10" s="4">
        <f t="shared" si="1"/>
        <v>70.1754386</v>
      </c>
      <c r="H10" s="4">
        <f t="shared" si="2"/>
        <v>17000</v>
      </c>
      <c r="I10" s="4" t="str">
        <f t="shared" si="3"/>
        <v>SI</v>
      </c>
    </row>
    <row r="11">
      <c r="D11" s="32" t="s">
        <v>51</v>
      </c>
      <c r="E11" s="35">
        <v>45000.0</v>
      </c>
      <c r="F11" s="3">
        <v>30000.0</v>
      </c>
      <c r="G11" s="4">
        <f t="shared" si="1"/>
        <v>66.66666667</v>
      </c>
      <c r="H11" s="4">
        <f t="shared" si="2"/>
        <v>15000</v>
      </c>
      <c r="I11" s="4" t="str">
        <f t="shared" si="3"/>
        <v>SI</v>
      </c>
    </row>
    <row r="12">
      <c r="D12" s="32" t="s">
        <v>52</v>
      </c>
      <c r="E12" s="35">
        <v>30000.0</v>
      </c>
      <c r="F12" s="3">
        <v>10000.0</v>
      </c>
      <c r="G12" s="4">
        <f t="shared" si="1"/>
        <v>33.33333333</v>
      </c>
      <c r="H12" s="4">
        <f t="shared" si="2"/>
        <v>20000</v>
      </c>
      <c r="I12" s="4" t="str">
        <f t="shared" si="3"/>
        <v>SI</v>
      </c>
    </row>
    <row r="13">
      <c r="D13" s="32" t="s">
        <v>53</v>
      </c>
      <c r="E13" s="35">
        <v>25000.0</v>
      </c>
      <c r="F13" s="3">
        <v>10000.0</v>
      </c>
      <c r="G13" s="4">
        <f t="shared" si="1"/>
        <v>40</v>
      </c>
      <c r="H13" s="4">
        <f t="shared" si="2"/>
        <v>15000</v>
      </c>
      <c r="I13" s="4" t="str">
        <f t="shared" si="3"/>
        <v>SI</v>
      </c>
    </row>
    <row r="14">
      <c r="D14" s="32" t="s">
        <v>54</v>
      </c>
      <c r="E14" s="36">
        <v>20000.0</v>
      </c>
      <c r="F14" s="3">
        <v>5000.0</v>
      </c>
      <c r="G14" s="4">
        <f t="shared" si="1"/>
        <v>25</v>
      </c>
      <c r="H14" s="4">
        <f t="shared" si="2"/>
        <v>15000</v>
      </c>
      <c r="I14" s="4" t="str">
        <f t="shared" si="3"/>
        <v>SI</v>
      </c>
    </row>
    <row r="17">
      <c r="G17" s="37" t="s">
        <v>55</v>
      </c>
      <c r="H17" s="38">
        <f>COUNTIF(I9:I14,"si")</f>
        <v>6</v>
      </c>
    </row>
    <row r="18">
      <c r="F18" s="39"/>
      <c r="G18" s="40" t="s">
        <v>56</v>
      </c>
      <c r="H18" s="41">
        <f>COUNTIF(I9:I14,"no")</f>
        <v>0</v>
      </c>
    </row>
    <row r="21">
      <c r="F21" s="42" t="s">
        <v>57</v>
      </c>
      <c r="G21" s="43"/>
      <c r="H21" s="41" t="str">
        <f>IF(H17&gt;H18,"SI","NO")</f>
        <v>SI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2" t="s">
        <v>58</v>
      </c>
      <c r="C4" s="44"/>
      <c r="D4" s="44"/>
    </row>
    <row r="5">
      <c r="B5" s="45"/>
      <c r="C5" s="45"/>
      <c r="D5" s="45"/>
    </row>
    <row r="7">
      <c r="B7" s="46" t="s">
        <v>59</v>
      </c>
      <c r="C7" s="46" t="s">
        <v>60</v>
      </c>
      <c r="D7" s="46" t="s">
        <v>61</v>
      </c>
      <c r="E7" s="46" t="s">
        <v>62</v>
      </c>
    </row>
    <row r="8">
      <c r="B8" s="47" t="s">
        <v>63</v>
      </c>
      <c r="C8" s="48">
        <v>65636.0</v>
      </c>
      <c r="D8" s="48">
        <v>62431.0</v>
      </c>
      <c r="E8" s="34">
        <f t="shared" ref="E8:E18" si="1">SUM(C8:D8)</f>
        <v>128067</v>
      </c>
    </row>
    <row r="9">
      <c r="B9" s="47" t="s">
        <v>64</v>
      </c>
      <c r="C9" s="48">
        <v>60839.0</v>
      </c>
      <c r="D9" s="48">
        <v>57037.0</v>
      </c>
      <c r="E9" s="34">
        <f t="shared" si="1"/>
        <v>117876</v>
      </c>
    </row>
    <row r="10">
      <c r="B10" s="47" t="s">
        <v>65</v>
      </c>
      <c r="C10" s="48">
        <v>74930.0</v>
      </c>
      <c r="D10" s="48">
        <v>71642.0</v>
      </c>
      <c r="E10" s="34">
        <f t="shared" si="1"/>
        <v>146572</v>
      </c>
    </row>
    <row r="11">
      <c r="B11" s="47" t="s">
        <v>66</v>
      </c>
      <c r="C11" s="48">
        <v>112530.0</v>
      </c>
      <c r="D11" s="48">
        <v>102269.0</v>
      </c>
      <c r="E11" s="34">
        <f t="shared" si="1"/>
        <v>214799</v>
      </c>
    </row>
    <row r="12">
      <c r="B12" s="47" t="s">
        <v>67</v>
      </c>
      <c r="C12" s="48">
        <v>110586.0</v>
      </c>
      <c r="D12" s="48">
        <v>102572.0</v>
      </c>
      <c r="E12" s="34">
        <f t="shared" si="1"/>
        <v>213158</v>
      </c>
    </row>
    <row r="13">
      <c r="B13" s="47" t="s">
        <v>68</v>
      </c>
      <c r="C13" s="48">
        <v>91056.0</v>
      </c>
      <c r="D13" s="48">
        <v>89068.0</v>
      </c>
      <c r="E13" s="34">
        <f t="shared" si="1"/>
        <v>180124</v>
      </c>
    </row>
    <row r="14">
      <c r="B14" s="47" t="s">
        <v>69</v>
      </c>
      <c r="C14" s="48">
        <v>68921.0</v>
      </c>
      <c r="D14" s="48">
        <v>72800.0</v>
      </c>
      <c r="E14" s="34">
        <f t="shared" si="1"/>
        <v>141721</v>
      </c>
    </row>
    <row r="15">
      <c r="B15" s="47" t="s">
        <v>70</v>
      </c>
      <c r="C15" s="48">
        <v>49194.0</v>
      </c>
      <c r="D15" s="48">
        <v>59582.0</v>
      </c>
      <c r="E15" s="34">
        <f t="shared" si="1"/>
        <v>108776</v>
      </c>
    </row>
    <row r="16">
      <c r="B16" s="47" t="s">
        <v>71</v>
      </c>
      <c r="C16" s="48">
        <v>31722.0</v>
      </c>
      <c r="D16" s="48">
        <v>48478.0</v>
      </c>
      <c r="E16" s="34">
        <f t="shared" si="1"/>
        <v>80200</v>
      </c>
    </row>
    <row r="17">
      <c r="B17" s="47" t="s">
        <v>72</v>
      </c>
      <c r="C17" s="48">
        <v>4573.0</v>
      </c>
      <c r="D17" s="48">
        <v>11284.0</v>
      </c>
      <c r="E17" s="34">
        <f t="shared" si="1"/>
        <v>15857</v>
      </c>
    </row>
    <row r="18">
      <c r="B18" s="49" t="s">
        <v>73</v>
      </c>
      <c r="C18" s="50">
        <f>SUM(C8:C17)</f>
        <v>669987</v>
      </c>
      <c r="D18" s="51">
        <v>677163.0</v>
      </c>
      <c r="E18" s="50">
        <f t="shared" si="1"/>
        <v>1347150</v>
      </c>
    </row>
    <row r="47">
      <c r="C47" s="46" t="s">
        <v>59</v>
      </c>
      <c r="D47" s="46" t="s">
        <v>61</v>
      </c>
    </row>
    <row r="48">
      <c r="C48" s="47" t="s">
        <v>63</v>
      </c>
      <c r="D48" s="48">
        <v>62431.0</v>
      </c>
    </row>
    <row r="49">
      <c r="C49" s="47" t="s">
        <v>64</v>
      </c>
      <c r="D49" s="48">
        <v>57037.0</v>
      </c>
    </row>
    <row r="50">
      <c r="C50" s="47" t="s">
        <v>65</v>
      </c>
      <c r="D50" s="48">
        <v>71642.0</v>
      </c>
    </row>
    <row r="51">
      <c r="C51" s="47" t="s">
        <v>66</v>
      </c>
      <c r="D51" s="48">
        <v>102269.0</v>
      </c>
    </row>
    <row r="52">
      <c r="C52" s="47" t="s">
        <v>67</v>
      </c>
      <c r="D52" s="48">
        <v>102572.0</v>
      </c>
    </row>
    <row r="53">
      <c r="C53" s="47" t="s">
        <v>68</v>
      </c>
      <c r="D53" s="48">
        <v>89068.0</v>
      </c>
    </row>
    <row r="54">
      <c r="C54" s="47" t="s">
        <v>69</v>
      </c>
      <c r="D54" s="48">
        <v>72800.0</v>
      </c>
    </row>
    <row r="55">
      <c r="C55" s="47" t="s">
        <v>70</v>
      </c>
      <c r="D55" s="48">
        <v>59582.0</v>
      </c>
    </row>
    <row r="56">
      <c r="C56" s="47" t="s">
        <v>71</v>
      </c>
      <c r="D56" s="48">
        <v>48478.0</v>
      </c>
    </row>
    <row r="57">
      <c r="C57" s="47" t="s">
        <v>72</v>
      </c>
      <c r="D57" s="48">
        <v>11284.0</v>
      </c>
    </row>
    <row r="58">
      <c r="D58" s="51"/>
    </row>
  </sheetData>
  <drawing r:id="rId1"/>
</worksheet>
</file>
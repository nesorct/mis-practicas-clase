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v 1" sheetId="1" r:id="rId5"/>
    <sheet state="visible" name="actv 2" sheetId="2" r:id="rId6"/>
    <sheet state="visible" name="actv 3" sheetId="3" r:id="rId7"/>
    <sheet state="visible" name="actv 4" sheetId="4" r:id="rId8"/>
    <sheet state="visible" name="actv 5" sheetId="5" r:id="rId9"/>
  </sheets>
  <definedNames/>
  <calcPr/>
</workbook>
</file>

<file path=xl/sharedStrings.xml><?xml version="1.0" encoding="utf-8"?>
<sst xmlns="http://schemas.openxmlformats.org/spreadsheetml/2006/main" count="77" uniqueCount="67">
  <si>
    <t>NUMERO</t>
  </si>
  <si>
    <t>OPERACION</t>
  </si>
  <si>
    <t>TABLA</t>
  </si>
  <si>
    <t>RESULTADO</t>
  </si>
  <si>
    <t>X</t>
  </si>
  <si>
    <t>ENERO</t>
  </si>
  <si>
    <t>FEBRERO</t>
  </si>
  <si>
    <t>MARZO</t>
  </si>
  <si>
    <t>TOTAL TRIMESTRE</t>
  </si>
  <si>
    <t>GASOLINA</t>
  </si>
  <si>
    <t>CANTINA</t>
  </si>
  <si>
    <t>GIMNASIO</t>
  </si>
  <si>
    <t>OCIO</t>
  </si>
  <si>
    <t>AGUA</t>
  </si>
  <si>
    <t>TOTAL</t>
  </si>
  <si>
    <t>TABLA DE NOTAS DE MIS COMPAÑEROS</t>
  </si>
  <si>
    <t>NOMBRE</t>
  </si>
  <si>
    <t>NOTA1</t>
  </si>
  <si>
    <t>NOTA2</t>
  </si>
  <si>
    <t>NOTA3</t>
  </si>
  <si>
    <t>NOTA MEDIA</t>
  </si>
  <si>
    <t>IZAN</t>
  </si>
  <si>
    <t>ROBERTO</t>
  </si>
  <si>
    <t>HUGO</t>
  </si>
  <si>
    <t>LUIS</t>
  </si>
  <si>
    <t>SERGIO</t>
  </si>
  <si>
    <t>SANTI</t>
  </si>
  <si>
    <t>PABLO</t>
  </si>
  <si>
    <t>CALCULO DE LA FRACTURA DE LA COMPAÑIA ELECTRICA</t>
  </si>
  <si>
    <t>WATIOS</t>
  </si>
  <si>
    <t>POTENCIA</t>
  </si>
  <si>
    <t>ENERGIA</t>
  </si>
  <si>
    <t>COSTE</t>
  </si>
  <si>
    <t>APARATO</t>
  </si>
  <si>
    <t>HORAS DE FUNCIONAMIENTO DIARIAS</t>
  </si>
  <si>
    <t xml:space="preserve">       KW</t>
  </si>
  <si>
    <t>HORAS MENSUALES</t>
  </si>
  <si>
    <t xml:space="preserve">       KWh</t>
  </si>
  <si>
    <t xml:space="preserve">          €</t>
  </si>
  <si>
    <t>LAVADORA</t>
  </si>
  <si>
    <t>TELEVISOR</t>
  </si>
  <si>
    <t>FRIGORIFICO</t>
  </si>
  <si>
    <t>LAVAVAJILLAS</t>
  </si>
  <si>
    <t>ILUMINACION</t>
  </si>
  <si>
    <t>PLANCHA</t>
  </si>
  <si>
    <t>ORDENADOR</t>
  </si>
  <si>
    <t>TOTAL:</t>
  </si>
  <si>
    <t>IVA 16%</t>
  </si>
  <si>
    <t>TOTAL CON IVA:</t>
  </si>
  <si>
    <t>COMPAÑIA ESPAÑOLA DE CAMPOS DE FUTBOL</t>
  </si>
  <si>
    <t>Estudio de rentabilidad año 2014</t>
  </si>
  <si>
    <t>Localidad</t>
  </si>
  <si>
    <t>Nº de plazas</t>
  </si>
  <si>
    <t>Promedio de ocupacion</t>
  </si>
  <si>
    <t>Porcentaje de ocupacion</t>
  </si>
  <si>
    <t>Diferencia</t>
  </si>
  <si>
    <t>¿Es rentable? SI/NO</t>
  </si>
  <si>
    <t>MADRID</t>
  </si>
  <si>
    <t>BARCELONA</t>
  </si>
  <si>
    <t>VALENCIA</t>
  </si>
  <si>
    <t>ZARAGOZA</t>
  </si>
  <si>
    <t>SEVILLA</t>
  </si>
  <si>
    <t>BILBAO</t>
  </si>
  <si>
    <t>Nº de campos rentables</t>
  </si>
  <si>
    <t>Nº de campos no rentables</t>
  </si>
  <si>
    <t>¿es rentables en conjunto?</t>
  </si>
  <si>
    <t>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</si>
</sst>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25.0"/>
      <color theme="1"/>
      <name val="Arial"/>
      <scheme val="minor"/>
    </font>
    <font>
      <sz val="24.0"/>
      <color theme="1"/>
      <name val="Arial"/>
      <scheme val="minor"/>
    </font>
    <font>
      <sz val="14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38761D"/>
        <bgColor rgb="FF38761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Border="1" applyFill="1" applyFont="1"/>
    <xf borderId="1" fillId="4" fontId="1" numFmtId="164" xfId="0" applyAlignment="1" applyBorder="1" applyFont="1" applyNumberFormat="1">
      <alignment readingOrder="0"/>
    </xf>
    <xf borderId="1" fillId="6" fontId="1" numFmtId="0" xfId="0" applyBorder="1" applyFill="1" applyFont="1"/>
    <xf borderId="1" fillId="7" fontId="1" numFmtId="0" xfId="0" applyAlignment="1" applyBorder="1" applyFill="1" applyFont="1">
      <alignment readingOrder="0"/>
    </xf>
    <xf borderId="1" fillId="7" fontId="1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8" fontId="3" numFmtId="0" xfId="0" applyAlignment="1" applyFill="1" applyFont="1">
      <alignment readingOrder="0"/>
    </xf>
    <xf borderId="0" fillId="8" fontId="3" numFmtId="0" xfId="0" applyFont="1"/>
    <xf borderId="0" fillId="8" fontId="1" numFmtId="0" xfId="0" applyFont="1"/>
    <xf borderId="1" fillId="9" fontId="1" numFmtId="0" xfId="0" applyAlignment="1" applyBorder="1" applyFill="1" applyFont="1">
      <alignment readingOrder="0"/>
    </xf>
    <xf borderId="2" fillId="9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9" fontId="1" numFmtId="0" xfId="0" applyAlignment="1" applyFont="1">
      <alignment readingOrder="0"/>
    </xf>
    <xf borderId="1" fillId="9" fontId="1" numFmtId="0" xfId="0" applyAlignment="1" applyBorder="1" applyFont="1">
      <alignment readingOrder="0" shrinkToFit="0" wrapText="0"/>
    </xf>
    <xf borderId="1" fillId="10" fontId="1" numFmtId="0" xfId="0" applyBorder="1" applyFill="1" applyFont="1"/>
    <xf borderId="1" fillId="10" fontId="1" numFmtId="0" xfId="0" applyAlignment="1" applyBorder="1" applyFont="1">
      <alignment shrinkToFit="0" wrapText="0"/>
    </xf>
    <xf borderId="0" fillId="11" fontId="2" numFmtId="0" xfId="0" applyAlignment="1" applyFill="1" applyFont="1">
      <alignment readingOrder="0"/>
    </xf>
    <xf borderId="0" fillId="1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1" numFmtId="0" xfId="0" applyFont="1"/>
    <xf borderId="0" fillId="12" fontId="5" numFmtId="0" xfId="0" applyAlignment="1" applyFill="1" applyFont="1">
      <alignment readingOrder="0"/>
    </xf>
    <xf borderId="0" fillId="12" fontId="5" numFmtId="0" xfId="0" applyFont="1"/>
    <xf borderId="0" fillId="12" fontId="1" numFmtId="0" xfId="0" applyFont="1"/>
    <xf borderId="0" fillId="10" fontId="1" numFmtId="0" xfId="0" applyAlignment="1" applyFont="1">
      <alignment readingOrder="0"/>
    </xf>
    <xf borderId="0" fillId="10" fontId="1" numFmtId="0" xfId="0" applyAlignment="1" applyFont="1">
      <alignment readingOrder="0" shrinkToFit="0" wrapText="1"/>
    </xf>
    <xf borderId="0" fillId="13" fontId="1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1" numFmtId="0" xfId="0" applyFont="1"/>
    <xf borderId="0" fillId="0" fontId="1" numFmtId="0" xfId="0" applyAlignment="1" applyFont="1">
      <alignment readingOrder="0" shrinkToFit="0" wrapText="1"/>
    </xf>
    <xf borderId="0" fillId="14" fontId="1" numFmtId="0" xfId="0" applyAlignment="1" applyFill="1" applyFont="1">
      <alignment readingOrder="0" shrinkToFit="0" wrapText="1"/>
    </xf>
    <xf borderId="0" fillId="14" fontId="1" numFmtId="0" xfId="0" applyAlignment="1" applyFont="1">
      <alignment readingOrder="0"/>
    </xf>
  </cellXfs>
  <cellStyles count="1">
    <cellStyle xfId="0" name="Normal" builtinId="0"/>
  </cellStyles>
  <dxfs count="8"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actv 3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F12" displayName="Tabla_1" name="Tabla_1" id="1">
  <tableColumns count="5">
    <tableColumn name="NOMBRE" id="1"/>
    <tableColumn name="NOTA1" id="2"/>
    <tableColumn name="NOTA2" id="3"/>
    <tableColumn name="NOTA3" id="4"/>
    <tableColumn name="NOTA MEDIA" id="5"/>
  </tableColumns>
  <tableStyleInfo name="actv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B2" s="2">
        <v>5.0</v>
      </c>
      <c r="C2" s="2" t="s">
        <v>4</v>
      </c>
      <c r="D2" s="2">
        <v>1.0</v>
      </c>
      <c r="E2" s="2">
        <v>5.0</v>
      </c>
    </row>
    <row r="3">
      <c r="B3" s="2">
        <f t="shared" ref="B3:B11" si="1">B2</f>
        <v>5</v>
      </c>
      <c r="C3" s="2" t="s">
        <v>4</v>
      </c>
      <c r="D3" s="3">
        <f t="shared" ref="D3:D11" si="2">D2+1</f>
        <v>2</v>
      </c>
      <c r="E3" s="3">
        <f t="shared" ref="E3:E11" si="3">B3*D3</f>
        <v>10</v>
      </c>
    </row>
    <row r="4">
      <c r="B4" s="2">
        <f t="shared" si="1"/>
        <v>5</v>
      </c>
      <c r="C4" s="2" t="s">
        <v>4</v>
      </c>
      <c r="D4" s="3">
        <f t="shared" si="2"/>
        <v>3</v>
      </c>
      <c r="E4" s="3">
        <f t="shared" si="3"/>
        <v>15</v>
      </c>
    </row>
    <row r="5">
      <c r="B5" s="2">
        <f t="shared" si="1"/>
        <v>5</v>
      </c>
      <c r="C5" s="2" t="s">
        <v>4</v>
      </c>
      <c r="D5" s="3">
        <f t="shared" si="2"/>
        <v>4</v>
      </c>
      <c r="E5" s="3">
        <f t="shared" si="3"/>
        <v>20</v>
      </c>
    </row>
    <row r="6">
      <c r="B6" s="2">
        <f t="shared" si="1"/>
        <v>5</v>
      </c>
      <c r="C6" s="2" t="s">
        <v>4</v>
      </c>
      <c r="D6" s="3">
        <f t="shared" si="2"/>
        <v>5</v>
      </c>
      <c r="E6" s="3">
        <f t="shared" si="3"/>
        <v>25</v>
      </c>
    </row>
    <row r="7">
      <c r="B7" s="2">
        <f t="shared" si="1"/>
        <v>5</v>
      </c>
      <c r="C7" s="2" t="s">
        <v>4</v>
      </c>
      <c r="D7" s="3">
        <f t="shared" si="2"/>
        <v>6</v>
      </c>
      <c r="E7" s="3">
        <f t="shared" si="3"/>
        <v>30</v>
      </c>
    </row>
    <row r="8">
      <c r="B8" s="2">
        <f t="shared" si="1"/>
        <v>5</v>
      </c>
      <c r="C8" s="2" t="s">
        <v>4</v>
      </c>
      <c r="D8" s="3">
        <f t="shared" si="2"/>
        <v>7</v>
      </c>
      <c r="E8" s="3">
        <f t="shared" si="3"/>
        <v>35</v>
      </c>
    </row>
    <row r="9">
      <c r="B9" s="2">
        <f t="shared" si="1"/>
        <v>5</v>
      </c>
      <c r="C9" s="2" t="s">
        <v>4</v>
      </c>
      <c r="D9" s="3">
        <f t="shared" si="2"/>
        <v>8</v>
      </c>
      <c r="E9" s="3">
        <f t="shared" si="3"/>
        <v>40</v>
      </c>
    </row>
    <row r="10">
      <c r="B10" s="2">
        <f t="shared" si="1"/>
        <v>5</v>
      </c>
      <c r="C10" s="2" t="s">
        <v>4</v>
      </c>
      <c r="D10" s="3">
        <f t="shared" si="2"/>
        <v>9</v>
      </c>
      <c r="E10" s="3">
        <f t="shared" si="3"/>
        <v>45</v>
      </c>
    </row>
    <row r="11">
      <c r="B11" s="2">
        <f t="shared" si="1"/>
        <v>5</v>
      </c>
      <c r="C11" s="2" t="s">
        <v>4</v>
      </c>
      <c r="D11" s="3">
        <f t="shared" si="2"/>
        <v>10</v>
      </c>
      <c r="E11" s="3">
        <f t="shared" si="3"/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25"/>
  </cols>
  <sheetData>
    <row r="1">
      <c r="C1" s="4" t="s">
        <v>5</v>
      </c>
      <c r="D1" s="4" t="s">
        <v>6</v>
      </c>
      <c r="E1" s="4" t="s">
        <v>7</v>
      </c>
      <c r="G1" s="2" t="s">
        <v>8</v>
      </c>
    </row>
    <row r="2">
      <c r="B2" s="5" t="s">
        <v>9</v>
      </c>
      <c r="C2" s="2">
        <v>50.0</v>
      </c>
      <c r="D2" s="2">
        <v>60.0</v>
      </c>
      <c r="E2" s="2">
        <v>45.0</v>
      </c>
      <c r="G2" s="6">
        <f t="shared" ref="G2:G6" si="1">SUM(C2:E2)</f>
        <v>155</v>
      </c>
    </row>
    <row r="3">
      <c r="B3" s="5" t="s">
        <v>10</v>
      </c>
      <c r="C3" s="2">
        <v>30.0</v>
      </c>
      <c r="D3" s="2">
        <v>35.0</v>
      </c>
      <c r="E3" s="2">
        <v>20.0</v>
      </c>
      <c r="G3" s="6">
        <f t="shared" si="1"/>
        <v>85</v>
      </c>
    </row>
    <row r="4">
      <c r="B4" s="7" t="s">
        <v>11</v>
      </c>
      <c r="C4" s="2">
        <v>40.0</v>
      </c>
      <c r="D4" s="2">
        <v>40.0</v>
      </c>
      <c r="E4" s="2">
        <v>40.0</v>
      </c>
      <c r="G4" s="6">
        <f t="shared" si="1"/>
        <v>120</v>
      </c>
    </row>
    <row r="5">
      <c r="B5" s="5" t="s">
        <v>12</v>
      </c>
      <c r="C5" s="2">
        <v>60.0</v>
      </c>
      <c r="D5" s="2">
        <v>70.0</v>
      </c>
      <c r="E5" s="2">
        <v>45.0</v>
      </c>
      <c r="G5" s="6">
        <f t="shared" si="1"/>
        <v>175</v>
      </c>
    </row>
    <row r="6">
      <c r="B6" s="5" t="s">
        <v>13</v>
      </c>
      <c r="C6" s="2">
        <v>40.0</v>
      </c>
      <c r="D6" s="2">
        <v>60.0</v>
      </c>
      <c r="E6" s="2">
        <v>35.0</v>
      </c>
      <c r="G6" s="6">
        <f t="shared" si="1"/>
        <v>135</v>
      </c>
    </row>
    <row r="8">
      <c r="B8" s="2" t="s">
        <v>14</v>
      </c>
      <c r="C8" s="8">
        <f t="shared" ref="C8:E8" si="2">SUM(C2:C6)</f>
        <v>220</v>
      </c>
      <c r="D8" s="8">
        <f t="shared" si="2"/>
        <v>265</v>
      </c>
      <c r="E8" s="8">
        <f t="shared" si="2"/>
        <v>185</v>
      </c>
      <c r="G8" s="3">
        <f>SUM(C8:E8)</f>
        <v>670</v>
      </c>
    </row>
  </sheetData>
  <conditionalFormatting sqref="G8">
    <cfRule type="cellIs" dxfId="0" priority="1" operator="greaterThan">
      <formula>1000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</cols>
  <sheetData>
    <row r="3">
      <c r="B3" s="9" t="s">
        <v>15</v>
      </c>
      <c r="C3" s="10"/>
      <c r="D3" s="10"/>
    </row>
    <row r="5" ht="22.5" customHeight="1"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ht="22.5" customHeight="1">
      <c r="B6" s="12" t="s">
        <v>21</v>
      </c>
      <c r="C6" s="13">
        <v>3.1</v>
      </c>
      <c r="D6" s="13">
        <v>7.5</v>
      </c>
      <c r="E6" s="13">
        <v>3.9</v>
      </c>
      <c r="F6" s="14">
        <f t="shared" ref="F6:F12" si="1">AVERAGE(C6:E6)</f>
        <v>4.833333333</v>
      </c>
    </row>
    <row r="7" ht="22.5" customHeight="1">
      <c r="B7" s="12" t="s">
        <v>22</v>
      </c>
      <c r="C7" s="13">
        <v>5.0</v>
      </c>
      <c r="D7" s="13">
        <v>7.2</v>
      </c>
      <c r="E7" s="13">
        <v>2.5</v>
      </c>
      <c r="F7" s="14">
        <f t="shared" si="1"/>
        <v>4.9</v>
      </c>
    </row>
    <row r="8" ht="22.5" customHeight="1">
      <c r="B8" s="12" t="s">
        <v>23</v>
      </c>
      <c r="C8" s="13">
        <v>3.5</v>
      </c>
      <c r="D8" s="13">
        <v>9.0</v>
      </c>
      <c r="E8" s="13">
        <v>8.5</v>
      </c>
      <c r="F8" s="14">
        <f t="shared" si="1"/>
        <v>7</v>
      </c>
    </row>
    <row r="9" ht="22.5" customHeight="1">
      <c r="B9" s="12" t="s">
        <v>24</v>
      </c>
      <c r="C9" s="13">
        <v>8.0</v>
      </c>
      <c r="D9" s="13">
        <v>5.0</v>
      </c>
      <c r="E9" s="13">
        <v>3.2</v>
      </c>
      <c r="F9" s="14">
        <f t="shared" si="1"/>
        <v>5.4</v>
      </c>
    </row>
    <row r="10" ht="22.5" customHeight="1">
      <c r="B10" s="12" t="s">
        <v>25</v>
      </c>
      <c r="C10" s="13">
        <v>4.3</v>
      </c>
      <c r="D10" s="13">
        <v>5.0</v>
      </c>
      <c r="E10" s="13">
        <v>4.0</v>
      </c>
      <c r="F10" s="14">
        <f t="shared" si="1"/>
        <v>4.433333333</v>
      </c>
    </row>
    <row r="11" ht="22.5" customHeight="1">
      <c r="B11" s="12" t="s">
        <v>26</v>
      </c>
      <c r="C11" s="13">
        <v>6.5</v>
      </c>
      <c r="D11" s="13">
        <v>5.5</v>
      </c>
      <c r="E11" s="13">
        <v>5.0</v>
      </c>
      <c r="F11" s="14">
        <f t="shared" si="1"/>
        <v>5.666666667</v>
      </c>
    </row>
    <row r="12" ht="22.5" customHeight="1">
      <c r="B12" s="12" t="s">
        <v>27</v>
      </c>
      <c r="C12" s="13">
        <v>5.0</v>
      </c>
      <c r="D12" s="13">
        <v>8.0</v>
      </c>
      <c r="E12" s="13">
        <v>4.7</v>
      </c>
      <c r="F12" s="14">
        <f t="shared" si="1"/>
        <v>5.9</v>
      </c>
    </row>
  </sheetData>
  <conditionalFormatting sqref="C6:F12">
    <cfRule type="cellIs" dxfId="6" priority="1" operator="greaterThanOrEqual">
      <formula>5</formula>
    </cfRule>
  </conditionalFormatting>
  <conditionalFormatting sqref="C6:F12">
    <cfRule type="cellIs" dxfId="7" priority="2" operator="lessThan">
      <formula>5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4" max="4" width="32.25"/>
    <col customWidth="1" min="6" max="6" width="17.75"/>
    <col customWidth="1" min="7" max="7" width="18.63"/>
  </cols>
  <sheetData>
    <row r="2" ht="31.5" customHeight="1">
      <c r="B2" s="15" t="s">
        <v>28</v>
      </c>
      <c r="C2" s="16"/>
      <c r="D2" s="16"/>
      <c r="E2" s="17"/>
      <c r="F2" s="17"/>
      <c r="G2" s="17"/>
    </row>
    <row r="3">
      <c r="C3" s="18" t="s">
        <v>29</v>
      </c>
      <c r="E3" s="19" t="s">
        <v>30</v>
      </c>
      <c r="F3" s="20"/>
      <c r="G3" s="21" t="s">
        <v>31</v>
      </c>
      <c r="H3" s="18" t="s">
        <v>32</v>
      </c>
    </row>
    <row r="4" ht="29.25" customHeight="1">
      <c r="B4" s="22" t="s">
        <v>33</v>
      </c>
      <c r="C4" s="22" t="s">
        <v>30</v>
      </c>
      <c r="D4" s="22" t="s">
        <v>34</v>
      </c>
      <c r="E4" s="22" t="s">
        <v>35</v>
      </c>
      <c r="F4" s="22" t="s">
        <v>36</v>
      </c>
      <c r="G4" s="22" t="s">
        <v>37</v>
      </c>
      <c r="H4" s="18" t="s">
        <v>38</v>
      </c>
    </row>
    <row r="5">
      <c r="B5" s="2" t="s">
        <v>39</v>
      </c>
      <c r="C5" s="2">
        <v>2000.0</v>
      </c>
      <c r="D5" s="2">
        <v>2.0</v>
      </c>
      <c r="E5" s="23">
        <f t="shared" ref="E5:E11" si="1">C5/1000</f>
        <v>2</v>
      </c>
      <c r="F5" s="23">
        <f t="shared" ref="F5:F11" si="2">D5*30</f>
        <v>60</v>
      </c>
      <c r="G5" s="24">
        <f t="shared" ref="G5:G11" si="3">E5*F5</f>
        <v>120</v>
      </c>
      <c r="H5" s="23">
        <f t="shared" ref="H5:H11" si="4">G5*0.055</f>
        <v>6.6</v>
      </c>
    </row>
    <row r="6">
      <c r="B6" s="2" t="s">
        <v>40</v>
      </c>
      <c r="C6" s="2">
        <v>150.0</v>
      </c>
      <c r="D6" s="2">
        <v>5.0</v>
      </c>
      <c r="E6" s="23">
        <f t="shared" si="1"/>
        <v>0.15</v>
      </c>
      <c r="F6" s="23">
        <f t="shared" si="2"/>
        <v>150</v>
      </c>
      <c r="G6" s="24">
        <f t="shared" si="3"/>
        <v>22.5</v>
      </c>
      <c r="H6" s="23">
        <f t="shared" si="4"/>
        <v>1.2375</v>
      </c>
    </row>
    <row r="7">
      <c r="B7" s="2" t="s">
        <v>41</v>
      </c>
      <c r="C7" s="2">
        <v>300.0</v>
      </c>
      <c r="D7" s="2">
        <v>4.0</v>
      </c>
      <c r="E7" s="23">
        <f t="shared" si="1"/>
        <v>0.3</v>
      </c>
      <c r="F7" s="23">
        <f t="shared" si="2"/>
        <v>120</v>
      </c>
      <c r="G7" s="24">
        <f t="shared" si="3"/>
        <v>36</v>
      </c>
      <c r="H7" s="23">
        <f t="shared" si="4"/>
        <v>1.98</v>
      </c>
    </row>
    <row r="8">
      <c r="B8" s="2" t="s">
        <v>42</v>
      </c>
      <c r="C8" s="2">
        <v>1800.0</v>
      </c>
      <c r="D8" s="2">
        <v>1.5</v>
      </c>
      <c r="E8" s="23">
        <f t="shared" si="1"/>
        <v>1.8</v>
      </c>
      <c r="F8" s="23">
        <f t="shared" si="2"/>
        <v>45</v>
      </c>
      <c r="G8" s="24">
        <f t="shared" si="3"/>
        <v>81</v>
      </c>
      <c r="H8" s="23">
        <f t="shared" si="4"/>
        <v>4.455</v>
      </c>
    </row>
    <row r="9">
      <c r="B9" s="2" t="s">
        <v>43</v>
      </c>
      <c r="C9" s="2">
        <v>500.0</v>
      </c>
      <c r="D9" s="2">
        <v>5.0</v>
      </c>
      <c r="E9" s="23">
        <f t="shared" si="1"/>
        <v>0.5</v>
      </c>
      <c r="F9" s="23">
        <f t="shared" si="2"/>
        <v>150</v>
      </c>
      <c r="G9" s="24">
        <f t="shared" si="3"/>
        <v>75</v>
      </c>
      <c r="H9" s="23">
        <f t="shared" si="4"/>
        <v>4.125</v>
      </c>
    </row>
    <row r="10">
      <c r="B10" s="2" t="s">
        <v>44</v>
      </c>
      <c r="C10" s="2">
        <v>1100.0</v>
      </c>
      <c r="D10" s="2">
        <v>1.0</v>
      </c>
      <c r="E10" s="23">
        <f t="shared" si="1"/>
        <v>1.1</v>
      </c>
      <c r="F10" s="23">
        <f t="shared" si="2"/>
        <v>30</v>
      </c>
      <c r="G10" s="24">
        <f t="shared" si="3"/>
        <v>33</v>
      </c>
      <c r="H10" s="23">
        <f t="shared" si="4"/>
        <v>1.815</v>
      </c>
    </row>
    <row r="11">
      <c r="B11" s="2" t="s">
        <v>45</v>
      </c>
      <c r="C11" s="2">
        <v>250.0</v>
      </c>
      <c r="D11" s="2">
        <v>4.0</v>
      </c>
      <c r="E11" s="23">
        <f t="shared" si="1"/>
        <v>0.25</v>
      </c>
      <c r="F11" s="23">
        <f t="shared" si="2"/>
        <v>120</v>
      </c>
      <c r="G11" s="24">
        <f t="shared" si="3"/>
        <v>30</v>
      </c>
      <c r="H11" s="23">
        <f t="shared" si="4"/>
        <v>1.65</v>
      </c>
    </row>
    <row r="15">
      <c r="G15" s="25" t="s">
        <v>46</v>
      </c>
      <c r="H15" s="26">
        <f>SUM(H5:H11)</f>
        <v>21.8625</v>
      </c>
    </row>
    <row r="16">
      <c r="G16" s="27"/>
    </row>
    <row r="17">
      <c r="G17" s="25" t="s">
        <v>47</v>
      </c>
      <c r="H17" s="26">
        <f>21.8625*0.16</f>
        <v>3.498</v>
      </c>
    </row>
    <row r="18">
      <c r="G18" s="27"/>
    </row>
    <row r="19">
      <c r="G19" s="25" t="s">
        <v>48</v>
      </c>
      <c r="H19" s="26">
        <f>SUM(H15:H17)</f>
        <v>25.3605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16.13"/>
    <col customWidth="1" min="5" max="5" width="0.38"/>
    <col customWidth="1" min="8" max="8" width="12.0"/>
  </cols>
  <sheetData>
    <row r="2">
      <c r="B2" s="28"/>
    </row>
    <row r="3">
      <c r="B3" s="29" t="s">
        <v>49</v>
      </c>
      <c r="C3" s="30"/>
      <c r="D3" s="30"/>
      <c r="E3" s="31"/>
      <c r="F3" s="31"/>
      <c r="G3" s="31"/>
      <c r="H3" s="31"/>
      <c r="I3" s="31"/>
    </row>
    <row r="4">
      <c r="B4" s="32" t="s">
        <v>50</v>
      </c>
      <c r="C4" s="33"/>
      <c r="D4" s="34"/>
    </row>
    <row r="6" ht="33.0" customHeight="1">
      <c r="B6" s="35" t="s">
        <v>51</v>
      </c>
      <c r="C6" s="35" t="s">
        <v>52</v>
      </c>
      <c r="D6" s="36" t="s">
        <v>53</v>
      </c>
      <c r="E6" s="26"/>
      <c r="F6" s="36" t="s">
        <v>54</v>
      </c>
      <c r="G6" s="35" t="s">
        <v>55</v>
      </c>
      <c r="H6" s="36" t="s">
        <v>56</v>
      </c>
    </row>
    <row r="7">
      <c r="B7" s="28" t="s">
        <v>57</v>
      </c>
      <c r="C7" s="37">
        <v>65000.0</v>
      </c>
      <c r="D7" s="38">
        <v>50000.0</v>
      </c>
      <c r="E7" s="39"/>
      <c r="F7" s="39">
        <f t="shared" ref="F7:F12" si="1">D7*100/C7</f>
        <v>76.92307692</v>
      </c>
      <c r="G7" s="39">
        <f>C7-D7</f>
        <v>15000</v>
      </c>
      <c r="H7" s="39" t="str">
        <f t="shared" ref="H7:H12" si="2">IF(F7&gt;60,"si","no")</f>
        <v>si</v>
      </c>
    </row>
    <row r="8">
      <c r="B8" s="28" t="s">
        <v>58</v>
      </c>
      <c r="C8" s="37">
        <v>57000.0</v>
      </c>
      <c r="D8" s="38">
        <v>35000.0</v>
      </c>
      <c r="E8" s="39"/>
      <c r="F8" s="39">
        <f t="shared" si="1"/>
        <v>61.40350877</v>
      </c>
      <c r="G8" s="39">
        <f>C8-D7</f>
        <v>7000</v>
      </c>
      <c r="H8" s="39" t="str">
        <f t="shared" si="2"/>
        <v>si</v>
      </c>
    </row>
    <row r="9">
      <c r="B9" s="28" t="s">
        <v>59</v>
      </c>
      <c r="C9" s="37">
        <v>45000.0</v>
      </c>
      <c r="D9" s="38">
        <v>40000.0</v>
      </c>
      <c r="E9" s="39"/>
      <c r="F9" s="39">
        <f t="shared" si="1"/>
        <v>88.88888889</v>
      </c>
      <c r="G9" s="39">
        <f t="shared" ref="G9:G12" si="3">C9-D9</f>
        <v>5000</v>
      </c>
      <c r="H9" s="39" t="str">
        <f t="shared" si="2"/>
        <v>si</v>
      </c>
    </row>
    <row r="10">
      <c r="B10" s="28" t="s">
        <v>60</v>
      </c>
      <c r="C10" s="37">
        <v>30000.0</v>
      </c>
      <c r="D10" s="38">
        <v>15000.0</v>
      </c>
      <c r="E10" s="39"/>
      <c r="F10" s="39">
        <f t="shared" si="1"/>
        <v>50</v>
      </c>
      <c r="G10" s="39">
        <f t="shared" si="3"/>
        <v>15000</v>
      </c>
      <c r="H10" s="39" t="str">
        <f t="shared" si="2"/>
        <v>no</v>
      </c>
    </row>
    <row r="11">
      <c r="B11" s="28" t="s">
        <v>61</v>
      </c>
      <c r="C11" s="37">
        <v>25000.0</v>
      </c>
      <c r="D11" s="38">
        <v>20000.0</v>
      </c>
      <c r="E11" s="39"/>
      <c r="F11" s="39">
        <f t="shared" si="1"/>
        <v>80</v>
      </c>
      <c r="G11" s="39">
        <f t="shared" si="3"/>
        <v>5000</v>
      </c>
      <c r="H11" s="39" t="str">
        <f t="shared" si="2"/>
        <v>si</v>
      </c>
    </row>
    <row r="12">
      <c r="B12" s="28" t="s">
        <v>62</v>
      </c>
      <c r="C12" s="37">
        <v>20000.0</v>
      </c>
      <c r="D12" s="38">
        <v>16000.0</v>
      </c>
      <c r="E12" s="39"/>
      <c r="F12" s="39">
        <f t="shared" si="1"/>
        <v>80</v>
      </c>
      <c r="G12" s="39">
        <f t="shared" si="3"/>
        <v>4000</v>
      </c>
      <c r="H12" s="39" t="str">
        <f t="shared" si="2"/>
        <v>si</v>
      </c>
    </row>
    <row r="14" ht="27.75" customHeight="1">
      <c r="G14" s="40" t="s">
        <v>63</v>
      </c>
      <c r="H14" s="41">
        <v>5.0</v>
      </c>
    </row>
    <row r="15">
      <c r="G15" s="40" t="s">
        <v>64</v>
      </c>
      <c r="H15" s="41">
        <v>1.0</v>
      </c>
    </row>
    <row r="17">
      <c r="G17" s="28" t="s">
        <v>65</v>
      </c>
      <c r="I17" s="42" t="s">
        <v>66</v>
      </c>
    </row>
  </sheetData>
  <drawing r:id="rId1"/>
</worksheet>
</file>